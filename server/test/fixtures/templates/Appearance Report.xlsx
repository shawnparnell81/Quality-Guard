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92a923451bc7a6/Desktop/"/>
    </mc:Choice>
  </mc:AlternateContent>
  <xr:revisionPtr revIDLastSave="56" documentId="8_{9E143DA0-E132-4892-A5D5-8B0423D73FB7}" xr6:coauthVersionLast="47" xr6:coauthVersionMax="47" xr10:uidLastSave="{A86C2B49-338B-4FE8-B05C-3A317BAAF5C0}"/>
  <bookViews>
    <workbookView xWindow="-83" yWindow="0" windowWidth="10965" windowHeight="12863" firstSheet="7" activeTab="7" xr2:uid="{39EE9E24-D271-4909-A3DF-CCDA81BDEE9C}"/>
  </bookViews>
  <sheets>
    <sheet name="Process Flow Diagram" sheetId="8" r:id="rId1"/>
    <sheet name="PFMEA" sheetId="3" r:id="rId2"/>
    <sheet name="Control Plan" sheetId="9" r:id="rId3"/>
    <sheet name="Appearance Approval " sheetId="2" r:id="rId4"/>
    <sheet name="8-D Report" sheetId="4" r:id="rId5"/>
    <sheet name="Inspection Report" sheetId="7" r:id="rId6"/>
    <sheet name="Product-Process Change " sheetId="10" r:id="rId7"/>
    <sheet name="Dimensional Report" sheetId="11" r:id="rId8"/>
  </sheets>
  <externalReferences>
    <externalReference r:id="rId9"/>
  </externalReferences>
  <definedNames>
    <definedName name="_xlnm.Print_Titles" localSheetId="2">'Control Plan'!$1:$8</definedName>
    <definedName name="_xlnm.Print_Titles" localSheetId="1">PFMEA!$1:$8</definedName>
    <definedName name="_xlnm.Print_Titles" localSheetId="0">'Process Flow Diagram'!$1:$12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1" l="1"/>
  <c r="H3" i="11"/>
  <c r="C4" i="11"/>
  <c r="H4" i="11"/>
  <c r="C5" i="11"/>
  <c r="H5" i="11"/>
  <c r="A9" i="11"/>
  <c r="C9" i="11"/>
  <c r="A10" i="11"/>
  <c r="C10" i="11"/>
  <c r="A11" i="11"/>
  <c r="C11" i="11"/>
  <c r="A12" i="11"/>
  <c r="C12" i="11"/>
  <c r="A13" i="11"/>
  <c r="C13" i="11"/>
  <c r="A14" i="11"/>
  <c r="C14" i="11"/>
  <c r="A15" i="11"/>
  <c r="C15" i="11"/>
  <c r="A16" i="11"/>
  <c r="C16" i="11"/>
  <c r="A17" i="11"/>
  <c r="C17" i="11"/>
  <c r="A18" i="11"/>
  <c r="C18" i="11"/>
  <c r="A19" i="11"/>
  <c r="C19" i="11"/>
  <c r="A20" i="11"/>
  <c r="C20" i="11"/>
  <c r="A21" i="11"/>
  <c r="C21" i="11"/>
  <c r="A22" i="11"/>
  <c r="C22" i="11"/>
  <c r="A23" i="11"/>
  <c r="C23" i="11"/>
  <c r="A24" i="11"/>
  <c r="C24" i="11"/>
  <c r="A25" i="11"/>
  <c r="C25" i="11"/>
  <c r="A26" i="11"/>
  <c r="C26" i="11"/>
  <c r="A27" i="11"/>
  <c r="C27" i="11"/>
  <c r="A28" i="11"/>
  <c r="C28" i="11"/>
  <c r="A29" i="11"/>
  <c r="C29" i="11"/>
  <c r="A30" i="11"/>
  <c r="C30" i="11"/>
  <c r="A31" i="11"/>
  <c r="C31" i="11"/>
  <c r="A32" i="11"/>
  <c r="C32" i="11"/>
  <c r="B8" i="10"/>
  <c r="E8" i="10"/>
  <c r="B10" i="10"/>
  <c r="E10" i="10"/>
  <c r="B12" i="10"/>
  <c r="B17" i="10"/>
  <c r="B18" i="10"/>
  <c r="B19" i="10"/>
  <c r="C4" i="9"/>
  <c r="G4" i="9"/>
  <c r="C5" i="9"/>
  <c r="C6" i="9"/>
  <c r="D6" i="9"/>
  <c r="A9" i="9"/>
  <c r="B9" i="9"/>
  <c r="C9" i="9"/>
  <c r="D9" i="9"/>
  <c r="H9" i="9"/>
  <c r="A10" i="9"/>
  <c r="B10" i="9"/>
  <c r="C10" i="9"/>
  <c r="D10" i="9"/>
  <c r="H10" i="9"/>
  <c r="A11" i="9"/>
  <c r="B11" i="9"/>
  <c r="C11" i="9"/>
  <c r="D11" i="9"/>
  <c r="H11" i="9"/>
  <c r="A12" i="9"/>
  <c r="B12" i="9"/>
  <c r="C12" i="9"/>
  <c r="D12" i="9"/>
  <c r="H12" i="9"/>
  <c r="A13" i="9"/>
  <c r="B13" i="9"/>
  <c r="C13" i="9"/>
  <c r="D13" i="9"/>
  <c r="H13" i="9"/>
  <c r="A14" i="9"/>
  <c r="B14" i="9"/>
  <c r="C14" i="9"/>
  <c r="D14" i="9"/>
  <c r="H14" i="9"/>
  <c r="A15" i="9"/>
  <c r="B15" i="9"/>
  <c r="C15" i="9"/>
  <c r="D15" i="9"/>
  <c r="H15" i="9"/>
  <c r="A16" i="9"/>
  <c r="B16" i="9"/>
  <c r="C16" i="9"/>
  <c r="D16" i="9"/>
  <c r="H16" i="9"/>
  <c r="A17" i="9"/>
  <c r="B17" i="9"/>
  <c r="C17" i="9"/>
  <c r="D17" i="9"/>
  <c r="H17" i="9"/>
  <c r="A18" i="9"/>
  <c r="B18" i="9"/>
  <c r="C18" i="9"/>
  <c r="D18" i="9"/>
  <c r="H18" i="9"/>
  <c r="A19" i="9"/>
  <c r="B19" i="9"/>
  <c r="C19" i="9"/>
  <c r="D19" i="9"/>
  <c r="H19" i="9"/>
  <c r="A20" i="9"/>
  <c r="B20" i="9"/>
  <c r="C20" i="9"/>
  <c r="D20" i="9"/>
  <c r="H20" i="9"/>
  <c r="A21" i="9"/>
  <c r="B21" i="9"/>
  <c r="C21" i="9"/>
  <c r="D21" i="9"/>
  <c r="H21" i="9"/>
  <c r="A22" i="9"/>
  <c r="B22" i="9"/>
  <c r="C22" i="9"/>
  <c r="D22" i="9"/>
  <c r="H22" i="9"/>
  <c r="A23" i="9"/>
  <c r="B23" i="9"/>
  <c r="C23" i="9"/>
  <c r="D23" i="9"/>
  <c r="H23" i="9"/>
  <c r="A24" i="9"/>
  <c r="B24" i="9"/>
  <c r="C24" i="9"/>
  <c r="D24" i="9"/>
  <c r="H24" i="9"/>
  <c r="A25" i="9"/>
  <c r="B25" i="9"/>
  <c r="C25" i="9"/>
  <c r="D25" i="9"/>
  <c r="H25" i="9"/>
  <c r="A26" i="9"/>
  <c r="B26" i="9"/>
  <c r="C26" i="9"/>
  <c r="D26" i="9"/>
  <c r="H26" i="9"/>
  <c r="A27" i="9"/>
  <c r="B27" i="9"/>
  <c r="C27" i="9"/>
  <c r="D27" i="9"/>
  <c r="H27" i="9"/>
  <c r="A28" i="9"/>
  <c r="B28" i="9"/>
  <c r="C28" i="9"/>
  <c r="D28" i="9"/>
  <c r="H28" i="9"/>
  <c r="A29" i="9"/>
  <c r="B29" i="9"/>
  <c r="C29" i="9"/>
  <c r="D29" i="9"/>
  <c r="H29" i="9"/>
  <c r="A30" i="9"/>
  <c r="B30" i="9"/>
  <c r="C30" i="9"/>
  <c r="D30" i="9"/>
  <c r="H30" i="9"/>
  <c r="A31" i="9"/>
  <c r="B31" i="9"/>
  <c r="C31" i="9"/>
  <c r="D31" i="9"/>
  <c r="H31" i="9"/>
  <c r="A32" i="9"/>
  <c r="B32" i="9"/>
  <c r="C32" i="9"/>
  <c r="D32" i="9"/>
  <c r="H32" i="9"/>
  <c r="A33" i="9"/>
  <c r="B33" i="9"/>
  <c r="C33" i="9"/>
  <c r="D33" i="9"/>
  <c r="H33" i="9"/>
  <c r="A34" i="9"/>
  <c r="B34" i="9"/>
  <c r="C34" i="9"/>
  <c r="D34" i="9"/>
  <c r="H34" i="9"/>
  <c r="A35" i="9"/>
  <c r="B35" i="9"/>
  <c r="C35" i="9"/>
  <c r="D35" i="9"/>
  <c r="H35" i="9"/>
  <c r="A36" i="9"/>
  <c r="B36" i="9"/>
  <c r="C36" i="9"/>
  <c r="D36" i="9"/>
  <c r="H36" i="9"/>
  <c r="A37" i="9"/>
  <c r="B37" i="9"/>
  <c r="C37" i="9"/>
  <c r="D37" i="9"/>
  <c r="H37" i="9"/>
  <c r="A38" i="9"/>
  <c r="B38" i="9"/>
  <c r="C38" i="9"/>
  <c r="D38" i="9"/>
  <c r="H38" i="9"/>
  <c r="A39" i="9"/>
  <c r="B39" i="9"/>
  <c r="C39" i="9"/>
  <c r="D39" i="9"/>
  <c r="H39" i="9"/>
  <c r="A40" i="9"/>
  <c r="B40" i="9"/>
  <c r="C40" i="9"/>
  <c r="D40" i="9"/>
  <c r="H40" i="9"/>
  <c r="A41" i="9"/>
  <c r="B41" i="9"/>
  <c r="C41" i="9"/>
  <c r="D41" i="9"/>
  <c r="H41" i="9"/>
  <c r="A42" i="9"/>
  <c r="B42" i="9"/>
  <c r="C42" i="9"/>
  <c r="D42" i="9"/>
  <c r="H42" i="9"/>
  <c r="A43" i="9"/>
  <c r="B43" i="9"/>
  <c r="C43" i="9"/>
  <c r="D43" i="9"/>
  <c r="H43" i="9"/>
  <c r="A44" i="9"/>
  <c r="B44" i="9"/>
  <c r="C44" i="9"/>
  <c r="D44" i="9"/>
  <c r="H44" i="9"/>
  <c r="A45" i="9"/>
  <c r="B45" i="9"/>
  <c r="C45" i="9"/>
  <c r="D45" i="9"/>
  <c r="H45" i="9"/>
  <c r="A46" i="9"/>
  <c r="B46" i="9"/>
  <c r="C46" i="9"/>
  <c r="D46" i="9"/>
  <c r="H46" i="9"/>
  <c r="A47" i="9"/>
  <c r="B47" i="9"/>
  <c r="C47" i="9"/>
  <c r="D47" i="9"/>
  <c r="H47" i="9"/>
  <c r="A48" i="9"/>
  <c r="B48" i="9"/>
  <c r="C48" i="9"/>
  <c r="D48" i="9"/>
  <c r="H48" i="9"/>
  <c r="A49" i="9"/>
  <c r="B49" i="9"/>
  <c r="C49" i="9"/>
  <c r="D49" i="9"/>
  <c r="H49" i="9"/>
  <c r="A50" i="9"/>
  <c r="B50" i="9"/>
  <c r="C50" i="9"/>
  <c r="D50" i="9"/>
  <c r="H50" i="9"/>
  <c r="A51" i="9"/>
  <c r="B51" i="9"/>
  <c r="C51" i="9"/>
  <c r="D51" i="9"/>
  <c r="H51" i="9"/>
  <c r="A52" i="9"/>
  <c r="B52" i="9"/>
  <c r="C52" i="9"/>
  <c r="D52" i="9"/>
  <c r="H52" i="9"/>
  <c r="A53" i="9"/>
  <c r="B53" i="9"/>
  <c r="C53" i="9"/>
  <c r="D53" i="9"/>
  <c r="H53" i="9"/>
  <c r="A54" i="9"/>
  <c r="B54" i="9"/>
  <c r="C54" i="9"/>
  <c r="D54" i="9"/>
  <c r="H54" i="9"/>
  <c r="A55" i="9"/>
  <c r="B55" i="9"/>
  <c r="C55" i="9"/>
  <c r="D55" i="9"/>
  <c r="H55" i="9"/>
  <c r="A56" i="9"/>
  <c r="B56" i="9"/>
  <c r="C56" i="9"/>
  <c r="D56" i="9"/>
  <c r="H56" i="9"/>
  <c r="A57" i="9"/>
  <c r="B57" i="9"/>
  <c r="C57" i="9"/>
  <c r="D57" i="9"/>
  <c r="H57" i="9"/>
  <c r="A58" i="9"/>
  <c r="B58" i="9"/>
  <c r="C58" i="9"/>
  <c r="D58" i="9"/>
  <c r="H58" i="9"/>
  <c r="A59" i="9"/>
  <c r="B59" i="9"/>
  <c r="C59" i="9"/>
  <c r="D59" i="9"/>
  <c r="H59" i="9"/>
  <c r="A60" i="9"/>
  <c r="B60" i="9"/>
  <c r="C60" i="9"/>
  <c r="D60" i="9"/>
  <c r="H60" i="9"/>
  <c r="A61" i="9"/>
  <c r="B61" i="9"/>
  <c r="C61" i="9"/>
  <c r="D61" i="9"/>
  <c r="H61" i="9"/>
  <c r="A62" i="9"/>
  <c r="B62" i="9"/>
  <c r="C62" i="9"/>
  <c r="D62" i="9"/>
  <c r="H62" i="9"/>
  <c r="A63" i="9"/>
  <c r="B63" i="9"/>
  <c r="C63" i="9"/>
  <c r="D63" i="9"/>
  <c r="H63" i="9"/>
  <c r="A64" i="9"/>
  <c r="B64" i="9"/>
  <c r="C64" i="9"/>
  <c r="D64" i="9"/>
  <c r="H64" i="9"/>
  <c r="A65" i="9"/>
  <c r="B65" i="9"/>
  <c r="C65" i="9"/>
  <c r="D65" i="9"/>
  <c r="H65" i="9"/>
  <c r="A66" i="9"/>
  <c r="B66" i="9"/>
  <c r="C66" i="9"/>
  <c r="D66" i="9"/>
  <c r="H66" i="9"/>
  <c r="A67" i="9"/>
  <c r="B67" i="9"/>
  <c r="C67" i="9"/>
  <c r="D67" i="9"/>
  <c r="H67" i="9"/>
  <c r="A68" i="9"/>
  <c r="B68" i="9"/>
  <c r="C68" i="9"/>
  <c r="D68" i="9"/>
  <c r="H68" i="9"/>
  <c r="A69" i="9"/>
  <c r="B69" i="9"/>
  <c r="C69" i="9"/>
  <c r="D69" i="9"/>
  <c r="H69" i="9"/>
  <c r="A70" i="9"/>
  <c r="B70" i="9"/>
  <c r="C70" i="9"/>
  <c r="D70" i="9"/>
  <c r="H70" i="9"/>
  <c r="A71" i="9"/>
  <c r="B71" i="9"/>
  <c r="C71" i="9"/>
  <c r="D71" i="9"/>
  <c r="H71" i="9"/>
  <c r="A72" i="9"/>
  <c r="B72" i="9"/>
  <c r="C72" i="9"/>
  <c r="D72" i="9"/>
  <c r="H72" i="9"/>
  <c r="A73" i="9"/>
  <c r="B73" i="9"/>
  <c r="C73" i="9"/>
  <c r="D73" i="9"/>
  <c r="H73" i="9"/>
  <c r="A74" i="9"/>
  <c r="B74" i="9"/>
  <c r="C74" i="9"/>
  <c r="D74" i="9"/>
  <c r="H74" i="9"/>
  <c r="A75" i="9"/>
  <c r="B75" i="9"/>
  <c r="C75" i="9"/>
  <c r="D75" i="9"/>
  <c r="H75" i="9"/>
  <c r="A76" i="9"/>
  <c r="B76" i="9"/>
  <c r="C76" i="9"/>
  <c r="D76" i="9"/>
  <c r="H76" i="9"/>
  <c r="A77" i="9"/>
  <c r="B77" i="9"/>
  <c r="C77" i="9"/>
  <c r="D77" i="9"/>
  <c r="H77" i="9"/>
  <c r="A78" i="9"/>
  <c r="B78" i="9"/>
  <c r="C78" i="9"/>
  <c r="D78" i="9"/>
  <c r="H78" i="9"/>
  <c r="A79" i="9"/>
  <c r="B79" i="9"/>
  <c r="C79" i="9"/>
  <c r="D79" i="9"/>
  <c r="H79" i="9"/>
  <c r="A80" i="9"/>
  <c r="B80" i="9"/>
  <c r="C80" i="9"/>
  <c r="D80" i="9"/>
  <c r="H80" i="9"/>
  <c r="A81" i="9"/>
  <c r="B81" i="9"/>
  <c r="C81" i="9"/>
  <c r="D81" i="9"/>
  <c r="H81" i="9"/>
  <c r="A82" i="9"/>
  <c r="B82" i="9"/>
  <c r="C82" i="9"/>
  <c r="D82" i="9"/>
  <c r="H82" i="9"/>
  <c r="A83" i="9"/>
  <c r="B83" i="9"/>
  <c r="C83" i="9"/>
  <c r="D83" i="9"/>
  <c r="H83" i="9"/>
  <c r="A84" i="9"/>
  <c r="B84" i="9"/>
  <c r="C84" i="9"/>
  <c r="D84" i="9"/>
  <c r="H84" i="9"/>
  <c r="A85" i="9"/>
  <c r="B85" i="9"/>
  <c r="C85" i="9"/>
  <c r="D85" i="9"/>
  <c r="H85" i="9"/>
  <c r="A86" i="9"/>
  <c r="B86" i="9"/>
  <c r="C86" i="9"/>
  <c r="D86" i="9"/>
  <c r="H86" i="9"/>
  <c r="A87" i="9"/>
  <c r="B87" i="9"/>
  <c r="C87" i="9"/>
  <c r="D87" i="9"/>
  <c r="H87" i="9"/>
  <c r="A88" i="9"/>
  <c r="B88" i="9"/>
  <c r="C88" i="9"/>
  <c r="D88" i="9"/>
  <c r="H88" i="9"/>
  <c r="A89" i="9"/>
  <c r="B89" i="9"/>
  <c r="C89" i="9"/>
  <c r="D89" i="9"/>
  <c r="H89" i="9"/>
  <c r="A90" i="9"/>
  <c r="B90" i="9"/>
  <c r="C90" i="9"/>
  <c r="D90" i="9"/>
  <c r="H90" i="9"/>
  <c r="A91" i="9"/>
  <c r="B91" i="9"/>
  <c r="C91" i="9"/>
  <c r="D91" i="9"/>
  <c r="H91" i="9"/>
  <c r="A92" i="9"/>
  <c r="B92" i="9"/>
  <c r="C92" i="9"/>
  <c r="D92" i="9"/>
  <c r="H92" i="9"/>
  <c r="A93" i="9"/>
  <c r="B93" i="9"/>
  <c r="C93" i="9"/>
  <c r="D93" i="9"/>
  <c r="H93" i="9"/>
  <c r="A94" i="9"/>
  <c r="B94" i="9"/>
  <c r="C94" i="9"/>
  <c r="D94" i="9"/>
  <c r="H94" i="9"/>
  <c r="A95" i="9"/>
  <c r="B95" i="9"/>
  <c r="C95" i="9"/>
  <c r="D95" i="9"/>
  <c r="H95" i="9"/>
  <c r="A96" i="9"/>
  <c r="B96" i="9"/>
  <c r="C96" i="9"/>
  <c r="D96" i="9"/>
  <c r="H96" i="9"/>
  <c r="A97" i="9"/>
  <c r="B97" i="9"/>
  <c r="C97" i="9"/>
  <c r="D97" i="9"/>
  <c r="H97" i="9"/>
  <c r="A98" i="9"/>
  <c r="B98" i="9"/>
  <c r="C98" i="9"/>
  <c r="D98" i="9"/>
  <c r="H98" i="9"/>
  <c r="A99" i="9"/>
  <c r="B99" i="9"/>
  <c r="C99" i="9"/>
  <c r="D99" i="9"/>
  <c r="H99" i="9"/>
  <c r="A100" i="9"/>
  <c r="B100" i="9"/>
  <c r="C100" i="9"/>
  <c r="D100" i="9"/>
  <c r="H100" i="9"/>
  <c r="A101" i="9"/>
  <c r="B101" i="9"/>
  <c r="C101" i="9"/>
  <c r="D101" i="9"/>
  <c r="H101" i="9"/>
  <c r="A102" i="9"/>
  <c r="B102" i="9"/>
  <c r="C102" i="9"/>
  <c r="D102" i="9"/>
  <c r="H102" i="9"/>
  <c r="A103" i="9"/>
  <c r="B103" i="9"/>
  <c r="C103" i="9"/>
  <c r="D103" i="9"/>
  <c r="H103" i="9"/>
  <c r="A104" i="9"/>
  <c r="B104" i="9"/>
  <c r="C104" i="9"/>
  <c r="D104" i="9"/>
  <c r="H104" i="9"/>
  <c r="A105" i="9"/>
  <c r="B105" i="9"/>
  <c r="C105" i="9"/>
  <c r="D105" i="9"/>
  <c r="H105" i="9"/>
  <c r="A106" i="9"/>
  <c r="B106" i="9"/>
  <c r="C106" i="9"/>
  <c r="D106" i="9"/>
  <c r="H106" i="9"/>
  <c r="A107" i="9"/>
  <c r="B107" i="9"/>
  <c r="C107" i="9"/>
  <c r="D107" i="9"/>
  <c r="H107" i="9"/>
  <c r="A108" i="9"/>
  <c r="B108" i="9"/>
  <c r="C108" i="9"/>
  <c r="D108" i="9"/>
  <c r="H108" i="9"/>
  <c r="A109" i="9"/>
  <c r="B109" i="9"/>
  <c r="C109" i="9"/>
  <c r="D109" i="9"/>
  <c r="H109" i="9"/>
  <c r="A110" i="9"/>
  <c r="B110" i="9"/>
  <c r="C110" i="9"/>
  <c r="D110" i="9"/>
  <c r="H110" i="9"/>
  <c r="A111" i="9"/>
  <c r="B111" i="9"/>
  <c r="C111" i="9"/>
  <c r="D111" i="9"/>
  <c r="H111" i="9"/>
  <c r="A112" i="9"/>
  <c r="B112" i="9"/>
  <c r="C112" i="9"/>
  <c r="D112" i="9"/>
  <c r="H112" i="9"/>
  <c r="A113" i="9"/>
  <c r="B113" i="9"/>
  <c r="C113" i="9"/>
  <c r="D113" i="9"/>
  <c r="H113" i="9"/>
  <c r="A114" i="9"/>
  <c r="B114" i="9"/>
  <c r="C114" i="9"/>
  <c r="D114" i="9"/>
  <c r="H114" i="9"/>
  <c r="A115" i="9"/>
  <c r="B115" i="9"/>
  <c r="C115" i="9"/>
  <c r="D115" i="9"/>
  <c r="H115" i="9"/>
  <c r="A116" i="9"/>
  <c r="B116" i="9"/>
  <c r="C116" i="9"/>
  <c r="D116" i="9"/>
  <c r="H116" i="9"/>
  <c r="A117" i="9"/>
  <c r="B117" i="9"/>
  <c r="C117" i="9"/>
  <c r="D117" i="9"/>
  <c r="H117" i="9"/>
  <c r="A118" i="9"/>
  <c r="B118" i="9"/>
  <c r="C118" i="9"/>
  <c r="D118" i="9"/>
  <c r="H118" i="9"/>
  <c r="A119" i="9"/>
  <c r="B119" i="9"/>
  <c r="C119" i="9"/>
  <c r="D119" i="9"/>
  <c r="H119" i="9"/>
  <c r="A120" i="9"/>
  <c r="B120" i="9"/>
  <c r="C120" i="9"/>
  <c r="D120" i="9"/>
  <c r="H120" i="9"/>
  <c r="A121" i="9"/>
  <c r="B121" i="9"/>
  <c r="C121" i="9"/>
  <c r="D121" i="9"/>
  <c r="H121" i="9"/>
  <c r="A122" i="9"/>
  <c r="B122" i="9"/>
  <c r="C122" i="9"/>
  <c r="D122" i="9"/>
  <c r="H122" i="9"/>
  <c r="A123" i="9"/>
  <c r="B123" i="9"/>
  <c r="C123" i="9"/>
  <c r="D123" i="9"/>
  <c r="H123" i="9"/>
  <c r="A124" i="9"/>
  <c r="B124" i="9"/>
  <c r="C124" i="9"/>
  <c r="D124" i="9"/>
  <c r="H124" i="9"/>
  <c r="A125" i="9"/>
  <c r="B125" i="9"/>
  <c r="C125" i="9"/>
  <c r="D125" i="9"/>
  <c r="H125" i="9"/>
  <c r="A126" i="9"/>
  <c r="B126" i="9"/>
  <c r="C126" i="9"/>
  <c r="D126" i="9"/>
  <c r="H126" i="9"/>
  <c r="A127" i="9"/>
  <c r="B127" i="9"/>
  <c r="C127" i="9"/>
  <c r="D127" i="9"/>
  <c r="H127" i="9"/>
  <c r="A128" i="9"/>
  <c r="B128" i="9"/>
  <c r="C128" i="9"/>
  <c r="D128" i="9"/>
  <c r="H128" i="9"/>
  <c r="A129" i="9"/>
  <c r="B129" i="9"/>
  <c r="C129" i="9"/>
  <c r="D129" i="9"/>
  <c r="H129" i="9"/>
  <c r="A130" i="9"/>
  <c r="B130" i="9"/>
  <c r="C130" i="9"/>
  <c r="D130" i="9"/>
  <c r="H130" i="9"/>
  <c r="E6" i="8"/>
  <c r="H8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E36" i="8"/>
  <c r="F36" i="8"/>
  <c r="C39" i="8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E62" i="8"/>
  <c r="F62" i="8"/>
  <c r="E100" i="8"/>
  <c r="E138" i="8"/>
  <c r="F138" i="8"/>
  <c r="E176" i="8"/>
  <c r="F176" i="8"/>
  <c r="K9" i="3"/>
  <c r="R9" i="3"/>
  <c r="K10" i="3"/>
  <c r="R10" i="3"/>
  <c r="K11" i="3"/>
  <c r="R11" i="3"/>
  <c r="K12" i="3"/>
  <c r="R12" i="3"/>
  <c r="K13" i="3"/>
  <c r="R13" i="3"/>
  <c r="K14" i="3"/>
  <c r="R14" i="3"/>
  <c r="K15" i="3"/>
  <c r="R15" i="3"/>
  <c r="K16" i="3"/>
  <c r="R16" i="3"/>
  <c r="K17" i="3"/>
  <c r="R17" i="3"/>
  <c r="K18" i="3"/>
  <c r="R18" i="3"/>
  <c r="K19" i="3"/>
  <c r="R19" i="3"/>
  <c r="K20" i="3"/>
  <c r="R20" i="3"/>
  <c r="K21" i="3"/>
  <c r="R21" i="3"/>
  <c r="K22" i="3"/>
  <c r="R22" i="3"/>
  <c r="K23" i="3"/>
  <c r="R23" i="3"/>
  <c r="K24" i="3"/>
  <c r="R24" i="3"/>
  <c r="K25" i="3"/>
  <c r="R25" i="3"/>
  <c r="K26" i="3"/>
  <c r="R26" i="3"/>
  <c r="K27" i="3"/>
  <c r="R27" i="3"/>
  <c r="K28" i="3"/>
  <c r="R28" i="3"/>
  <c r="K29" i="3"/>
  <c r="R29" i="3"/>
  <c r="K30" i="3"/>
  <c r="R30" i="3"/>
  <c r="K31" i="3"/>
  <c r="R31" i="3"/>
  <c r="C3" i="2"/>
  <c r="J3" i="2"/>
  <c r="C5" i="2"/>
  <c r="C7" i="2"/>
  <c r="K7" i="2"/>
  <c r="U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Arthur</author>
    <author>A satisfied Microsoft Office user</author>
  </authors>
  <commentList>
    <comment ref="K8" authorId="0" shapeId="0" xr:uid="{85E04F16-67F5-41DD-A3ED-856BB58158A3}">
      <text>
        <r>
          <rPr>
            <b/>
            <sz val="8"/>
            <color indexed="81"/>
            <rFont val="Tahoma"/>
            <charset val="1"/>
          </rPr>
          <t>RPN=Risk Priority Number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E9" authorId="1" shapeId="0" xr:uid="{841CC6B1-7429-420B-AE1D-CE50261C418A}">
      <text>
        <r>
          <rPr>
            <sz val="8"/>
            <color indexed="81"/>
            <rFont val="Tahoma"/>
            <charset val="1"/>
          </rPr>
          <t>Special Characteristics: critical, key, major, significant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Arthur</author>
  </authors>
  <commentList>
    <comment ref="A1" authorId="0" shapeId="0" xr:uid="{05BACA0B-F977-4421-B1A9-47A53064D58F}">
      <text>
        <r>
          <rPr>
            <b/>
            <sz val="8"/>
            <color indexed="81"/>
            <rFont val="Tahoma"/>
            <charset val="1"/>
          </rPr>
          <t>For instructions, see PPAP Manual Pg 56.
Order from www.aiag.org/
publications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Arthur</author>
  </authors>
  <commentList>
    <comment ref="C1" authorId="0" shapeId="0" xr:uid="{C38F0E1C-DA1F-4046-A03D-F8E78F35BE92}">
      <text>
        <r>
          <rPr>
            <b/>
            <sz val="8"/>
            <color indexed="81"/>
            <rFont val="Tahoma"/>
            <family val="2"/>
          </rPr>
          <t>8-D (Eight Disciplines) is another name for process improvement.
-Focus
-Improve
-Sustain
-Honor</t>
        </r>
      </text>
    </comment>
    <comment ref="A7" authorId="0" shapeId="0" xr:uid="{4F3B3A5B-6E82-4DF2-9EC1-379957356A85}">
      <text>
        <r>
          <rPr>
            <b/>
            <sz val="8"/>
            <color indexed="81"/>
            <rFont val="Tahoma"/>
            <family val="2"/>
          </rPr>
          <t>Discipline 1:
Use a team approach</t>
        </r>
      </text>
    </comment>
    <comment ref="B7" authorId="0" shapeId="0" xr:uid="{65CDCAAE-983F-4FAB-A526-F9B2BCD1D7A3}">
      <text>
        <r>
          <rPr>
            <b/>
            <sz val="8"/>
            <color indexed="81"/>
            <rFont val="Tahoma"/>
            <family val="2"/>
          </rPr>
          <t>Describe the problem:
During (time), problem accounted for 50% of defects which resulted in lost customers and revenue.</t>
        </r>
      </text>
    </comment>
    <comment ref="A8" authorId="0" shapeId="0" xr:uid="{F489BF4C-5E04-4013-9D44-D9AFABDEFB19}">
      <text>
        <r>
          <rPr>
            <b/>
            <sz val="8"/>
            <color indexed="81"/>
            <rFont val="Tahoma"/>
            <family val="2"/>
          </rPr>
          <t>Hold down the Alt Key and press Return to insert multiple lines.</t>
        </r>
      </text>
    </comment>
    <comment ref="A9" authorId="0" shapeId="0" xr:uid="{03A1A470-36E3-4642-B7E7-FDEA25BA804F}">
      <text>
        <r>
          <rPr>
            <b/>
            <sz val="8"/>
            <color indexed="81"/>
            <rFont val="Tahoma"/>
            <family val="2"/>
          </rPr>
          <t>Discipline 3:
Implement and verify containment actions.</t>
        </r>
      </text>
    </comment>
    <comment ref="A11" authorId="0" shapeId="0" xr:uid="{41295464-F2C2-4BD9-9550-00BD4B820DD7}">
      <text>
        <r>
          <rPr>
            <b/>
            <sz val="8"/>
            <color indexed="81"/>
            <rFont val="Tahoma"/>
            <family val="2"/>
          </rPr>
          <t>Discipline 4:
Identify and verify root causes.</t>
        </r>
      </text>
    </comment>
    <comment ref="A13" authorId="0" shapeId="0" xr:uid="{91A27612-8EA9-451B-8AE2-E9A6BA788B0C}">
      <text>
        <r>
          <rPr>
            <b/>
            <sz val="8"/>
            <color indexed="81"/>
            <rFont val="Tahoma"/>
            <family val="2"/>
          </rPr>
          <t>Discipline 5:
Choose permanent corrective actions.</t>
        </r>
      </text>
    </comment>
    <comment ref="A15" authorId="0" shapeId="0" xr:uid="{906B7097-D17A-4681-94A4-CF790801BA4E}">
      <text>
        <r>
          <rPr>
            <b/>
            <sz val="8"/>
            <color indexed="81"/>
            <rFont val="Tahoma"/>
            <family val="2"/>
          </rPr>
          <t>Discipline 6:
Implement Permanent Corrective Actions.</t>
        </r>
      </text>
    </comment>
    <comment ref="A17" authorId="0" shapeId="0" xr:uid="{5E688B80-266E-46FA-BAD0-AA8B9A3D8F71}">
      <text>
        <r>
          <rPr>
            <b/>
            <sz val="8"/>
            <color indexed="81"/>
            <rFont val="Tahoma"/>
            <family val="2"/>
          </rPr>
          <t>Discipline 7:
Prevent Recurrence using FMEA, Control Plan, SPC, etc.</t>
        </r>
      </text>
    </comment>
    <comment ref="A24" authorId="0" shapeId="0" xr:uid="{F7F38114-585A-41C8-9D75-B8644433EC3C}">
      <text>
        <r>
          <rPr>
            <b/>
            <sz val="8"/>
            <color indexed="81"/>
            <rFont val="Tahoma"/>
            <family val="2"/>
          </rPr>
          <t>Discipline 8:
Recognize and honor your team.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Arthur</author>
  </authors>
  <commentList>
    <comment ref="A8" authorId="0" shapeId="0" xr:uid="{E38CFD73-6860-405A-A28C-D253A72BA4E7}">
      <text>
        <r>
          <rPr>
            <b/>
            <sz val="8"/>
            <color indexed="81"/>
            <rFont val="Tahoma"/>
            <family val="2"/>
          </rPr>
          <t>For instructions, see PPAP Manual Pg 63.
Order from www.aiag.org/
publications</t>
        </r>
      </text>
    </comment>
  </commentList>
</comments>
</file>

<file path=xl/sharedStrings.xml><?xml version="1.0" encoding="utf-8"?>
<sst xmlns="http://schemas.openxmlformats.org/spreadsheetml/2006/main" count="429" uniqueCount="331">
  <si>
    <t>Representative Signature</t>
  </si>
  <si>
    <t>Signature</t>
  </si>
  <si>
    <t>Date</t>
  </si>
  <si>
    <t xml:space="preserve">Authorized Customer </t>
  </si>
  <si>
    <t>Phone No.</t>
  </si>
  <si>
    <t>Organization</t>
  </si>
  <si>
    <t>Comments</t>
  </si>
  <si>
    <t>Low</t>
  </si>
  <si>
    <t>High</t>
  </si>
  <si>
    <t>Clean</t>
  </si>
  <si>
    <t>Gray</t>
  </si>
  <si>
    <t>Dark</t>
  </si>
  <si>
    <t>Light</t>
  </si>
  <si>
    <t>Blu</t>
  </si>
  <si>
    <t>Grn</t>
  </si>
  <si>
    <t>Yel</t>
  </si>
  <si>
    <t>Red</t>
  </si>
  <si>
    <t>CMC</t>
  </si>
  <si>
    <t>DE*</t>
  </si>
  <si>
    <t>Db*</t>
  </si>
  <si>
    <t>Da*</t>
  </si>
  <si>
    <t>DL*</t>
  </si>
  <si>
    <t>Disposition</t>
  </si>
  <si>
    <t>Suffix</t>
  </si>
  <si>
    <t>Brilliance</t>
  </si>
  <si>
    <t>Source</t>
  </si>
  <si>
    <t>Type</t>
  </si>
  <si>
    <t>Number</t>
  </si>
  <si>
    <t>Part</t>
  </si>
  <si>
    <t>Shipping</t>
  </si>
  <si>
    <t>Metallic</t>
  </si>
  <si>
    <t>Gloss</t>
  </si>
  <si>
    <t>Chroma</t>
  </si>
  <si>
    <t>Value</t>
  </si>
  <si>
    <t>Hue</t>
  </si>
  <si>
    <t>Material</t>
  </si>
  <si>
    <t>Master</t>
  </si>
  <si>
    <t>Tristimulus Data</t>
  </si>
  <si>
    <t>Color</t>
  </si>
  <si>
    <t>COLOR EVALUATION</t>
  </si>
  <si>
    <t>Etch/Tool/EDM</t>
  </si>
  <si>
    <t>Approved to</t>
  </si>
  <si>
    <t>Resubmit</t>
  </si>
  <si>
    <t>Correct and</t>
  </si>
  <si>
    <t>Proceed</t>
  </si>
  <si>
    <t xml:space="preserve">Correct and </t>
  </si>
  <si>
    <t>Signature and Date</t>
  </si>
  <si>
    <t>Evaluation</t>
  </si>
  <si>
    <t>Representative</t>
  </si>
  <si>
    <t>Pre-texture</t>
  </si>
  <si>
    <t>Organization Sourcing and Texture Information</t>
  </si>
  <si>
    <t>Authorized Customer</t>
  </si>
  <si>
    <t>APPEARANCE EVALUATION</t>
  </si>
  <si>
    <t>Engineering Change</t>
  </si>
  <si>
    <t>First Production Shipment</t>
  </si>
  <si>
    <t>Pre Texture</t>
  </si>
  <si>
    <t>Other</t>
  </si>
  <si>
    <t>Re-Submission</t>
  </si>
  <si>
    <t>Special Sample</t>
  </si>
  <si>
    <t>Part Submission Warrant</t>
  </si>
  <si>
    <t>Code</t>
  </si>
  <si>
    <t>Location</t>
  </si>
  <si>
    <t>Name</t>
  </si>
  <si>
    <t>Supplier/Vendor</t>
  </si>
  <si>
    <t xml:space="preserve">Manufacturing </t>
  </si>
  <si>
    <t>E/C Level</t>
  </si>
  <si>
    <t xml:space="preserve">Buyer </t>
  </si>
  <si>
    <t>Vehicles</t>
  </si>
  <si>
    <t xml:space="preserve">Application </t>
  </si>
  <si>
    <t xml:space="preserve">Drawing </t>
  </si>
  <si>
    <t xml:space="preserve">Part </t>
  </si>
  <si>
    <t>APPEARANCE APPROVAL REPORT</t>
  </si>
  <si>
    <t>Reason for Submission</t>
  </si>
  <si>
    <t>Minor Rework (&lt;10%)</t>
  </si>
  <si>
    <t>Plant Dissatisfaction</t>
  </si>
  <si>
    <t>Moderate Rework (&lt;25%)</t>
  </si>
  <si>
    <t>Regulatory Penalty</t>
  </si>
  <si>
    <t>10. Almost Impossible</t>
  </si>
  <si>
    <t>10. Very High &gt;1/10</t>
  </si>
  <si>
    <t>10. Hazardous w/o warning</t>
  </si>
  <si>
    <t>safety/regulations</t>
  </si>
  <si>
    <t>Scrap</t>
  </si>
  <si>
    <t>AIAG PPAP 4th</t>
  </si>
  <si>
    <t>9. Very Remote</t>
  </si>
  <si>
    <t>9. Very High 1/20</t>
  </si>
  <si>
    <t>9. Hazardous with warning</t>
  </si>
  <si>
    <t xml:space="preserve">Failure to meet </t>
  </si>
  <si>
    <t>Warranty Costs</t>
  </si>
  <si>
    <t>8. Remote</t>
  </si>
  <si>
    <t>8. High -  1/50</t>
  </si>
  <si>
    <t>8. Very High</t>
  </si>
  <si>
    <t>of primary function</t>
  </si>
  <si>
    <t>Line Stoppage</t>
  </si>
  <si>
    <t>7. Very Low</t>
  </si>
  <si>
    <t>7. High -  1/100</t>
  </si>
  <si>
    <t>7. High</t>
  </si>
  <si>
    <t>Loss or degradation</t>
  </si>
  <si>
    <t>Possible Recall</t>
  </si>
  <si>
    <t>(Manufacturer)</t>
  </si>
  <si>
    <t>6. Low</t>
  </si>
  <si>
    <t>6. Moderate - 1/500</t>
  </si>
  <si>
    <t>6. Moderate</t>
  </si>
  <si>
    <t>of secondary function</t>
  </si>
  <si>
    <t>Plant Safety Problem</t>
  </si>
  <si>
    <t>Customer</t>
  </si>
  <si>
    <t>5. Moderate</t>
  </si>
  <si>
    <t>5. Moderate - 1/2000</t>
  </si>
  <si>
    <t>5. Low</t>
  </si>
  <si>
    <t>Minor Owner Dissatisfaction</t>
  </si>
  <si>
    <t>4. Moderate High</t>
  </si>
  <si>
    <t>4. Moderate - 1/10000</t>
  </si>
  <si>
    <t>4. Very Low</t>
  </si>
  <si>
    <t>Moderate Owner Dissatisfaction</t>
  </si>
  <si>
    <t>3. High</t>
  </si>
  <si>
    <t>3. Low - 1/100000</t>
  </si>
  <si>
    <t>3. Minor</t>
  </si>
  <si>
    <t>Annoyance</t>
  </si>
  <si>
    <t>Major Owner Dissatisfaction</t>
  </si>
  <si>
    <t>(e.g., buyer)</t>
  </si>
  <si>
    <t>2. Very High</t>
  </si>
  <si>
    <t>2. Low - 1/1000000</t>
  </si>
  <si>
    <t>2. Very Minor</t>
  </si>
  <si>
    <t>Owner Safety Problem</t>
  </si>
  <si>
    <t>Consumer</t>
  </si>
  <si>
    <t>1. Almost Certain</t>
  </si>
  <si>
    <t>1. Very low &lt;.01/1000</t>
  </si>
  <si>
    <t>1. None</t>
  </si>
  <si>
    <t>No Effect</t>
  </si>
  <si>
    <t>Severity</t>
  </si>
  <si>
    <t>Effects of Failure</t>
  </si>
  <si>
    <t>Stakeholder</t>
  </si>
  <si>
    <t>Detection:</t>
  </si>
  <si>
    <t>Occurrence Rating</t>
  </si>
  <si>
    <t>Severity of Effect:</t>
  </si>
  <si>
    <t>Actions and actual completion date</t>
  </si>
  <si>
    <t>Name of organization or individual and target completion date</t>
  </si>
  <si>
    <t>Design actions to reduce severity, occurrence and detection ratings. Severity of 9 or 10 requires special attention.</t>
  </si>
  <si>
    <t>List detection activities to assure process adequacy and prevent or reduce occurrence.</t>
  </si>
  <si>
    <t>List prevention activities to assure process adequacy and prevent or reduce occurrence.</t>
  </si>
  <si>
    <t>List every potential cause and/or failure mechanism: incorrect material, improper maintenance, fatigue, wear, etc.</t>
  </si>
  <si>
    <t>Consequences on other systems, parts, or people: noise, unstable, inoperative, impaired, etc.</t>
  </si>
  <si>
    <t>Manner in which part could fail: cracked, loosened, deformed, leaking, oxidized, etc.</t>
  </si>
  <si>
    <t>Name, Part Number, or Class
Function</t>
  </si>
  <si>
    <t>R. P. N.</t>
  </si>
  <si>
    <t>Detection</t>
  </si>
  <si>
    <t>Occurrence</t>
  </si>
  <si>
    <t>Actions Taken &amp; Completion Date</t>
  </si>
  <si>
    <t>Responsibility &amp; Target Completion Date</t>
  </si>
  <si>
    <t>Recommended Action(s)</t>
  </si>
  <si>
    <t>Current Process Controls Detection</t>
  </si>
  <si>
    <t>Current Process Controls Prevention</t>
  </si>
  <si>
    <t>Potential Cause(s) / Mechanism(s) of Failure</t>
  </si>
  <si>
    <t>Class</t>
  </si>
  <si>
    <t>Potential Effect(s) of Failure</t>
  </si>
  <si>
    <t>Potential Failure Mode</t>
  </si>
  <si>
    <t>Requirements</t>
  </si>
  <si>
    <t>A c t i o n  R e s u l t s</t>
  </si>
  <si>
    <t>Process Step</t>
  </si>
  <si>
    <t>Team members</t>
  </si>
  <si>
    <t>Core Team:</t>
  </si>
  <si>
    <t>FMEA Date:</t>
  </si>
  <si>
    <t>Key Date:</t>
  </si>
  <si>
    <t>model years/programs</t>
  </si>
  <si>
    <t>Model Years:</t>
  </si>
  <si>
    <t>who</t>
  </si>
  <si>
    <t>Prepared by:</t>
  </si>
  <si>
    <t>Responsibility:</t>
  </si>
  <si>
    <t>Name/number of item</t>
  </si>
  <si>
    <t>Item</t>
  </si>
  <si>
    <t>of</t>
  </si>
  <si>
    <t>Page</t>
  </si>
  <si>
    <t>Process</t>
  </si>
  <si>
    <t>Insert FMEA#</t>
  </si>
  <si>
    <t>FMEA Number</t>
  </si>
  <si>
    <t>Potential
 Failure Mode and Effects Analysis
(Process FMEA)</t>
  </si>
  <si>
    <t>Department:</t>
  </si>
  <si>
    <t>Name:</t>
  </si>
  <si>
    <t>Reported by</t>
  </si>
  <si>
    <t>Close Date</t>
  </si>
  <si>
    <t>8. Congratulate your team</t>
  </si>
  <si>
    <t>Auditor:</t>
  </si>
  <si>
    <t xml:space="preserve">If yes, date of audit: </t>
  </si>
  <si>
    <t>Has Process or Procedure been changed?</t>
  </si>
  <si>
    <t>Review/Modify/Create</t>
  </si>
  <si>
    <t>Implementation Date</t>
  </si>
  <si>
    <t>7. Action(s) to Prevent Recurrence:</t>
  </si>
  <si>
    <t>6. Implemented Permanent Corrective Action(s):</t>
  </si>
  <si>
    <t>Verification</t>
  </si>
  <si>
    <t>% Effect</t>
  </si>
  <si>
    <t>5. Chosen Permanent Corrective Action(s):</t>
  </si>
  <si>
    <t>% Contribution</t>
  </si>
  <si>
    <t>4. Root Cause(s)</t>
  </si>
  <si>
    <t>3. Containment Action(s):</t>
  </si>
  <si>
    <t>2. Problem Definition</t>
  </si>
  <si>
    <t>1. Team Details (Name, Dept)</t>
  </si>
  <si>
    <t>Supplier Part Number:</t>
  </si>
  <si>
    <t xml:space="preserve">Date Opened: </t>
  </si>
  <si>
    <t>Part Number:</t>
  </si>
  <si>
    <t>Supplier Code:</t>
  </si>
  <si>
    <t>Part Name:</t>
  </si>
  <si>
    <t>Supplier Name:</t>
  </si>
  <si>
    <t>8-D Corrective Action Report</t>
  </si>
  <si>
    <t>Customer:</t>
  </si>
  <si>
    <t>Date:</t>
  </si>
  <si>
    <t>Comment</t>
  </si>
  <si>
    <t>Sample 3</t>
  </si>
  <si>
    <t>Sample 2</t>
  </si>
  <si>
    <t>Sample 1</t>
  </si>
  <si>
    <t>RANGE OF TOLERANCE</t>
  </si>
  <si>
    <t>Characteristic Number</t>
  </si>
  <si>
    <t>Measurement Results</t>
  </si>
  <si>
    <t>Specification Requirement</t>
  </si>
  <si>
    <t>Line #</t>
  </si>
  <si>
    <t>of 1</t>
  </si>
  <si>
    <t>Page 1</t>
  </si>
  <si>
    <t>Part Number</t>
  </si>
  <si>
    <t>Approved By</t>
  </si>
  <si>
    <t>Prepared By</t>
  </si>
  <si>
    <t>Storage</t>
  </si>
  <si>
    <t>Delay</t>
  </si>
  <si>
    <t>Transport</t>
  </si>
  <si>
    <t>Op/Ins</t>
  </si>
  <si>
    <t>Inspection</t>
  </si>
  <si>
    <t>Operation</t>
  </si>
  <si>
    <t>Legend</t>
  </si>
  <si>
    <t>SC</t>
  </si>
  <si>
    <t>Description</t>
  </si>
  <si>
    <t>Control Method</t>
  </si>
  <si>
    <t>Out-going</t>
  </si>
  <si>
    <t>No.</t>
  </si>
  <si>
    <t>Process Description</t>
  </si>
  <si>
    <t>Op. No.</t>
  </si>
  <si>
    <t>Characteristic</t>
  </si>
  <si>
    <t>Core Team</t>
  </si>
  <si>
    <t>Dwg. Date</t>
  </si>
  <si>
    <t>Dwg. Rev</t>
  </si>
  <si>
    <t>Dwg. Number</t>
  </si>
  <si>
    <t>Part Name</t>
  </si>
  <si>
    <t>Supplier Part Number</t>
  </si>
  <si>
    <t>Supplier</t>
  </si>
  <si>
    <t>1 of 1</t>
  </si>
  <si>
    <t>Customer Part Number</t>
  </si>
  <si>
    <t>Process Flow Diagram</t>
  </si>
  <si>
    <t>Reaction Plan</t>
  </si>
  <si>
    <t>Freq.</t>
  </si>
  <si>
    <t>Size</t>
  </si>
  <si>
    <t>Evaluation/ Measurement Technique</t>
  </si>
  <si>
    <t>Product/Process Specification/ Tolerance</t>
  </si>
  <si>
    <t>Special Char Class</t>
  </si>
  <si>
    <t>Product</t>
  </si>
  <si>
    <t>Machine, Device, Jig, Tools, for Mfg.</t>
  </si>
  <si>
    <t>Process Name/ Operation Description</t>
  </si>
  <si>
    <t>Part/ Process Number</t>
  </si>
  <si>
    <t>Methods</t>
  </si>
  <si>
    <t>Characteristics</t>
  </si>
  <si>
    <t>Other Approval/Date</t>
  </si>
  <si>
    <t>Other Approval/Date (If Req'd)</t>
  </si>
  <si>
    <t>Supplier/Plant</t>
  </si>
  <si>
    <t>Customer Quality Approval/Date</t>
  </si>
  <si>
    <t>Supplier/Plant Approval/Date</t>
  </si>
  <si>
    <t>Part Name/Description</t>
  </si>
  <si>
    <t>Customer Eng. Approval/Date</t>
  </si>
  <si>
    <t>Part Number/Latest Change Level</t>
  </si>
  <si>
    <t>Control Plan Number</t>
  </si>
  <si>
    <t>Date (Rev.)</t>
  </si>
  <si>
    <t>Date(Orig)</t>
  </si>
  <si>
    <t>Key Contact/Phone</t>
  </si>
  <si>
    <t>Production</t>
  </si>
  <si>
    <t>Prelaunch</t>
  </si>
  <si>
    <t>Prototype</t>
  </si>
  <si>
    <t>CONTROL PLAN</t>
  </si>
  <si>
    <t>Contact your customer to determine if this form is available in an electronic format or if this form should be faxed.</t>
  </si>
  <si>
    <t>Note: Please submit this notification at least 6 weeks prior to the planned change implementation !</t>
  </si>
  <si>
    <t>E-Mail:</t>
  </si>
  <si>
    <t>Fax No:</t>
  </si>
  <si>
    <t>Business Phone No:</t>
  </si>
  <si>
    <t>Title:</t>
  </si>
  <si>
    <t>EXPLANATION/COMMENTS:</t>
  </si>
  <si>
    <t>performance and durability. I also certify that documented evidence of such compliance is on file and available for customer review</t>
  </si>
  <si>
    <t>where appropriate, for dimensional change, appearance change, physical property change, functionally for</t>
  </si>
  <si>
    <t>I hereby certify that representative samples will be manufactured using the revised product and/or process and verified,</t>
  </si>
  <si>
    <t>DECLARATION</t>
  </si>
  <si>
    <t>Planned Date of Implementation</t>
  </si>
  <si>
    <t>DETAILED DESCRIPTION OF PRODUCT/PROCESS CHANGE:</t>
  </si>
  <si>
    <t>Expected PPAP Completion/Submission Date:</t>
  </si>
  <si>
    <t>New or Revised Subcomponent</t>
  </si>
  <si>
    <t>Engineering Drawing Change</t>
  </si>
  <si>
    <t>Product Change</t>
  </si>
  <si>
    <t>Organization Change That May Affect End Item:</t>
  </si>
  <si>
    <t>__ Appearance</t>
  </si>
  <si>
    <t xml:space="preserve">Design Responsibility: </t>
  </si>
  <si>
    <t>__ Functional</t>
  </si>
  <si>
    <t>__ Correction of Discrepancy</t>
  </si>
  <si>
    <t>__ Materials</t>
  </si>
  <si>
    <t>__ Tooling; Transfer, Replacement, Refurbishment, or additional</t>
  </si>
  <si>
    <t>__ Dimensional</t>
  </si>
  <si>
    <t>__ Engineering Change(s)</t>
  </si>
  <si>
    <t>Change Type (check all that apply)</t>
  </si>
  <si>
    <t>Customer Plants Affected:</t>
  </si>
  <si>
    <t>City, State &amp; Zip:</t>
  </si>
  <si>
    <t>Street Address</t>
  </si>
  <si>
    <t>ORGANIZATION MANUFACTURING INFORMATION</t>
  </si>
  <si>
    <t>Application:</t>
  </si>
  <si>
    <t>Safety and/or government regulation:</t>
  </si>
  <si>
    <t>Purchase Order Number:</t>
  </si>
  <si>
    <t>Dated:</t>
  </si>
  <si>
    <t>Engineering Revision Level</t>
  </si>
  <si>
    <t>Customer Part Number:</t>
  </si>
  <si>
    <t>Organization Part Number:</t>
  </si>
  <si>
    <t>To:</t>
  </si>
  <si>
    <t>clarification or PPAP submission requirements.</t>
  </si>
  <si>
    <t>Complete this form and email to your customer organization whenever customer notification is required by the PPAP</t>
  </si>
  <si>
    <t>Product / Process Change Notification</t>
  </si>
  <si>
    <t>Title</t>
  </si>
  <si>
    <t>Blanket statements of conformance are unacceptable for any test results.</t>
  </si>
  <si>
    <t>Not OK</t>
  </si>
  <si>
    <t>OK</t>
  </si>
  <si>
    <t>Organization Measurement Results (Data)</t>
  </si>
  <si>
    <t>Qty. Tested</t>
  </si>
  <si>
    <t>Test Date</t>
  </si>
  <si>
    <t>Specification / Limits</t>
  </si>
  <si>
    <t>Dimension/Specification</t>
  </si>
  <si>
    <t>Engineering Change Documents</t>
  </si>
  <si>
    <t>Design Record Change Level:</t>
  </si>
  <si>
    <t>Name of Inspection Facility</t>
  </si>
  <si>
    <t>Supplier/Vendor Code:</t>
  </si>
  <si>
    <t>Page ___ of ___</t>
  </si>
  <si>
    <t>Dimensional TestResults</t>
  </si>
  <si>
    <t>Production Part Approval -</t>
  </si>
  <si>
    <t>Your customer will respond back with an acknowledgement and may request additional change</t>
  </si>
  <si>
    <t xml:space="preserve">FIRST ARTICLE INSPECTION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</si>
</sst>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</font>
    <font>
      <b/>
      <sz val="14"/>
      <name val="Arial"/>
      <family val="2"/>
    </font>
    <font>
      <b/>
      <sz val="8"/>
      <color indexed="81"/>
      <name val="Tahoma"/>
      <charset val="1"/>
    </font>
    <font>
      <sz val="10"/>
      <name val="Geneva"/>
    </font>
    <font>
      <sz val="10"/>
      <name val="Helv"/>
    </font>
    <font>
      <sz val="9"/>
      <name val="Helv"/>
    </font>
    <font>
      <b/>
      <sz val="10"/>
      <name val="Helv"/>
    </font>
    <font>
      <sz val="9"/>
      <name val="Geneva"/>
    </font>
    <font>
      <b/>
      <sz val="10"/>
      <name val="Geneva"/>
    </font>
    <font>
      <b/>
      <sz val="9"/>
      <name val="Helv"/>
    </font>
    <font>
      <sz val="8"/>
      <name val="Helv"/>
    </font>
    <font>
      <u/>
      <sz val="7.5"/>
      <color indexed="12"/>
      <name val="Geneva"/>
    </font>
    <font>
      <u/>
      <sz val="10"/>
      <color indexed="12"/>
      <name val="Geneva"/>
    </font>
    <font>
      <sz val="8"/>
      <color indexed="81"/>
      <name val="Tahoma"/>
      <charset val="1"/>
    </font>
    <font>
      <sz val="10"/>
      <name val="ZapfDingbats"/>
      <family val="5"/>
    </font>
    <font>
      <b/>
      <sz val="1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</font>
    <font>
      <i/>
      <sz val="8"/>
      <name val="Arial"/>
      <family val="2"/>
    </font>
    <font>
      <u/>
      <sz val="8"/>
      <name val="Arial"/>
      <family val="2"/>
    </font>
    <font>
      <b/>
      <sz val="8"/>
      <name val="Arial"/>
    </font>
    <font>
      <i/>
      <sz val="9"/>
      <name val="Arial"/>
      <family val="2"/>
    </font>
    <font>
      <u/>
      <sz val="10"/>
      <name val="Arial"/>
      <family val="2"/>
    </font>
    <font>
      <b/>
      <sz val="8"/>
      <color indexed="81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333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1" fillId="0" borderId="23" xfId="1" applyBorder="1"/>
    <xf numFmtId="0" fontId="1" fillId="0" borderId="24" xfId="1" applyBorder="1"/>
    <xf numFmtId="0" fontId="1" fillId="0" borderId="25" xfId="1" applyBorder="1"/>
    <xf numFmtId="0" fontId="1" fillId="0" borderId="26" xfId="1" applyBorder="1"/>
    <xf numFmtId="0" fontId="1" fillId="0" borderId="27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29" xfId="1" applyBorder="1"/>
    <xf numFmtId="0" fontId="1" fillId="0" borderId="6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1" xfId="1" applyBorder="1"/>
    <xf numFmtId="0" fontId="1" fillId="0" borderId="31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34" xfId="1" applyBorder="1"/>
    <xf numFmtId="0" fontId="1" fillId="0" borderId="12" xfId="1" applyBorder="1" applyAlignment="1">
      <alignment horizontal="center"/>
    </xf>
    <xf numFmtId="0" fontId="1" fillId="0" borderId="35" xfId="1" applyBorder="1"/>
    <xf numFmtId="0" fontId="2" fillId="0" borderId="2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3" xfId="1" applyBorder="1" applyAlignment="1">
      <alignment horizontal="centerContinuous"/>
    </xf>
    <xf numFmtId="0" fontId="1" fillId="0" borderId="4" xfId="1" applyBorder="1" applyAlignment="1">
      <alignment horizontal="centerContinuous"/>
    </xf>
    <xf numFmtId="0" fontId="1" fillId="0" borderId="36" xfId="1" applyBorder="1"/>
    <xf numFmtId="0" fontId="1" fillId="0" borderId="12" xfId="1" applyBorder="1" applyAlignment="1">
      <alignment horizontal="centerContinuous"/>
    </xf>
    <xf numFmtId="0" fontId="1" fillId="0" borderId="37" xfId="1" applyBorder="1" applyAlignment="1">
      <alignment horizontal="centerContinuous"/>
    </xf>
    <xf numFmtId="0" fontId="1" fillId="0" borderId="38" xfId="1" applyBorder="1"/>
    <xf numFmtId="0" fontId="1" fillId="0" borderId="5" xfId="1" applyBorder="1" applyAlignment="1">
      <alignment horizontal="centerContinuous"/>
    </xf>
    <xf numFmtId="0" fontId="1" fillId="0" borderId="39" xfId="1" applyBorder="1" applyAlignment="1">
      <alignment horizontal="centerContinuous"/>
    </xf>
    <xf numFmtId="0" fontId="1" fillId="2" borderId="38" xfId="1" applyFill="1" applyBorder="1" applyAlignment="1">
      <alignment horizontal="centerContinuous"/>
    </xf>
    <xf numFmtId="0" fontId="1" fillId="2" borderId="5" xfId="1" applyFill="1" applyBorder="1" applyAlignment="1">
      <alignment horizontal="centerContinuous"/>
    </xf>
    <xf numFmtId="0" fontId="1" fillId="2" borderId="6" xfId="1" applyFill="1" applyBorder="1" applyAlignment="1">
      <alignment horizontal="centerContinuous"/>
    </xf>
    <xf numFmtId="0" fontId="1" fillId="2" borderId="39" xfId="1" applyFill="1" applyBorder="1" applyAlignment="1">
      <alignment horizontal="centerContinuous"/>
    </xf>
    <xf numFmtId="0" fontId="1" fillId="2" borderId="28" xfId="1" applyFill="1" applyBorder="1" applyAlignment="1">
      <alignment horizontal="centerContinuous"/>
    </xf>
    <xf numFmtId="0" fontId="1" fillId="2" borderId="0" xfId="1" applyFill="1" applyAlignment="1">
      <alignment horizontal="centerContinuous"/>
    </xf>
    <xf numFmtId="0" fontId="1" fillId="2" borderId="31" xfId="1" applyFill="1" applyBorder="1" applyAlignment="1">
      <alignment horizontal="centerContinuous"/>
    </xf>
    <xf numFmtId="0" fontId="1" fillId="2" borderId="29" xfId="1" applyFill="1" applyBorder="1" applyAlignment="1">
      <alignment horizontal="centerContinuous"/>
    </xf>
    <xf numFmtId="0" fontId="1" fillId="0" borderId="32" xfId="1" applyBorder="1"/>
    <xf numFmtId="0" fontId="3" fillId="0" borderId="6" xfId="1" applyFont="1" applyBorder="1" applyAlignment="1">
      <alignment vertical="top"/>
    </xf>
    <xf numFmtId="0" fontId="1" fillId="0" borderId="6" xfId="1" applyBorder="1" applyAlignment="1">
      <alignment wrapText="1"/>
    </xf>
    <xf numFmtId="0" fontId="3" fillId="0" borderId="13" xfId="1" applyFont="1" applyBorder="1" applyAlignment="1">
      <alignment vertical="top"/>
    </xf>
    <xf numFmtId="0" fontId="1" fillId="0" borderId="13" xfId="1" applyBorder="1" applyAlignment="1">
      <alignment wrapText="1"/>
    </xf>
    <xf numFmtId="0" fontId="1" fillId="0" borderId="5" xfId="1" applyBorder="1" applyAlignment="1">
      <alignment horizontal="left"/>
    </xf>
    <xf numFmtId="0" fontId="1" fillId="0" borderId="6" xfId="1" applyBorder="1" applyAlignment="1">
      <alignment horizontal="left"/>
    </xf>
    <xf numFmtId="0" fontId="4" fillId="0" borderId="0" xfId="2" applyAlignment="1" applyProtection="1"/>
    <xf numFmtId="0" fontId="5" fillId="0" borderId="0" xfId="1" applyFont="1" applyAlignment="1">
      <alignment horizontal="center"/>
    </xf>
    <xf numFmtId="0" fontId="2" fillId="0" borderId="25" xfId="1" applyFont="1" applyBorder="1" applyAlignment="1">
      <alignment horizontal="center"/>
    </xf>
    <xf numFmtId="0" fontId="8" fillId="0" borderId="0" xfId="3" applyFont="1" applyAlignment="1">
      <alignment wrapText="1"/>
    </xf>
    <xf numFmtId="0" fontId="8" fillId="2" borderId="17" xfId="3" applyFont="1" applyFill="1" applyBorder="1" applyAlignment="1">
      <alignment wrapText="1"/>
    </xf>
    <xf numFmtId="0" fontId="8" fillId="2" borderId="15" xfId="3" applyFont="1" applyFill="1" applyBorder="1" applyAlignment="1">
      <alignment wrapText="1"/>
    </xf>
    <xf numFmtId="0" fontId="8" fillId="2" borderId="16" xfId="3" applyFont="1" applyFill="1" applyBorder="1" applyAlignment="1">
      <alignment wrapText="1"/>
    </xf>
    <xf numFmtId="0" fontId="8" fillId="2" borderId="16" xfId="3" applyFont="1" applyFill="1" applyBorder="1"/>
    <xf numFmtId="0" fontId="8" fillId="2" borderId="6" xfId="3" applyFont="1" applyFill="1" applyBorder="1" applyAlignment="1">
      <alignment wrapText="1"/>
    </xf>
    <xf numFmtId="0" fontId="8" fillId="2" borderId="31" xfId="3" applyFont="1" applyFill="1" applyBorder="1" applyAlignment="1">
      <alignment wrapText="1"/>
    </xf>
    <xf numFmtId="0" fontId="8" fillId="2" borderId="0" xfId="3" applyFont="1" applyFill="1" applyAlignment="1">
      <alignment wrapText="1"/>
    </xf>
    <xf numFmtId="0" fontId="9" fillId="2" borderId="0" xfId="3" applyFont="1" applyFill="1"/>
    <xf numFmtId="0" fontId="8" fillId="2" borderId="0" xfId="3" applyFont="1" applyFill="1"/>
    <xf numFmtId="0" fontId="8" fillId="2" borderId="7" xfId="3" applyFont="1" applyFill="1" applyBorder="1"/>
    <xf numFmtId="0" fontId="8" fillId="2" borderId="5" xfId="3" applyFont="1" applyFill="1" applyBorder="1"/>
    <xf numFmtId="0" fontId="9" fillId="2" borderId="5" xfId="3" applyFont="1" applyFill="1" applyBorder="1"/>
    <xf numFmtId="0" fontId="9" fillId="2" borderId="6" xfId="3" applyFont="1" applyFill="1" applyBorder="1"/>
    <xf numFmtId="0" fontId="8" fillId="2" borderId="14" xfId="3" applyFont="1" applyFill="1" applyBorder="1"/>
    <xf numFmtId="0" fontId="8" fillId="2" borderId="12" xfId="3" applyFont="1" applyFill="1" applyBorder="1"/>
    <xf numFmtId="0" fontId="9" fillId="2" borderId="12" xfId="3" applyFont="1" applyFill="1" applyBorder="1"/>
    <xf numFmtId="0" fontId="9" fillId="2" borderId="13" xfId="3" applyFont="1" applyFill="1" applyBorder="1"/>
    <xf numFmtId="0" fontId="8" fillId="2" borderId="7" xfId="3" applyFont="1" applyFill="1" applyBorder="1" applyAlignment="1">
      <alignment wrapText="1"/>
    </xf>
    <xf numFmtId="0" fontId="8" fillId="2" borderId="5" xfId="3" applyFont="1" applyFill="1" applyBorder="1" applyAlignment="1">
      <alignment wrapText="1"/>
    </xf>
    <xf numFmtId="0" fontId="8" fillId="2" borderId="6" xfId="3" applyFont="1" applyFill="1" applyBorder="1"/>
    <xf numFmtId="0" fontId="10" fillId="2" borderId="31" xfId="3" applyFont="1" applyFill="1" applyBorder="1" applyAlignment="1">
      <alignment wrapText="1"/>
    </xf>
    <xf numFmtId="0" fontId="9" fillId="2" borderId="15" xfId="3" applyFont="1" applyFill="1" applyBorder="1" applyAlignment="1">
      <alignment wrapText="1"/>
    </xf>
    <xf numFmtId="0" fontId="9" fillId="2" borderId="16" xfId="3" applyFont="1" applyFill="1" applyBorder="1"/>
    <xf numFmtId="0" fontId="9" fillId="2" borderId="6" xfId="3" applyFont="1" applyFill="1" applyBorder="1" applyAlignment="1">
      <alignment wrapText="1"/>
    </xf>
    <xf numFmtId="0" fontId="11" fillId="2" borderId="0" xfId="3" applyFont="1" applyFill="1"/>
    <xf numFmtId="0" fontId="7" fillId="2" borderId="16" xfId="3" applyFill="1" applyBorder="1"/>
    <xf numFmtId="0" fontId="7" fillId="2" borderId="31" xfId="3" applyFill="1" applyBorder="1"/>
    <xf numFmtId="0" fontId="8" fillId="2" borderId="32" xfId="3" applyFont="1" applyFill="1" applyBorder="1"/>
    <xf numFmtId="0" fontId="9" fillId="2" borderId="31" xfId="3" applyFont="1" applyFill="1" applyBorder="1"/>
    <xf numFmtId="0" fontId="12" fillId="2" borderId="31" xfId="3" applyFont="1" applyFill="1" applyBorder="1"/>
    <xf numFmtId="0" fontId="8" fillId="2" borderId="17" xfId="3" applyFont="1" applyFill="1" applyBorder="1"/>
    <xf numFmtId="0" fontId="8" fillId="2" borderId="15" xfId="3" applyFont="1" applyFill="1" applyBorder="1"/>
    <xf numFmtId="0" fontId="9" fillId="2" borderId="15" xfId="3" applyFont="1" applyFill="1" applyBorder="1"/>
    <xf numFmtId="0" fontId="10" fillId="2" borderId="16" xfId="3" applyFont="1" applyFill="1" applyBorder="1"/>
    <xf numFmtId="0" fontId="13" fillId="2" borderId="16" xfId="3" applyFont="1" applyFill="1" applyBorder="1"/>
    <xf numFmtId="0" fontId="12" fillId="2" borderId="25" xfId="3" applyFont="1" applyFill="1" applyBorder="1"/>
    <xf numFmtId="0" fontId="13" fillId="2" borderId="0" xfId="3" applyFont="1" applyFill="1"/>
    <xf numFmtId="0" fontId="8" fillId="2" borderId="19" xfId="3" applyFont="1" applyFill="1" applyBorder="1" applyAlignment="1">
      <alignment wrapText="1"/>
    </xf>
    <xf numFmtId="0" fontId="8" fillId="0" borderId="20" xfId="3" applyFont="1" applyBorder="1" applyAlignment="1">
      <alignment vertical="top" wrapText="1"/>
    </xf>
    <xf numFmtId="1" fontId="8" fillId="0" borderId="20" xfId="3" applyNumberFormat="1" applyFont="1" applyBorder="1" applyAlignment="1">
      <alignment vertical="top" wrapText="1"/>
    </xf>
    <xf numFmtId="0" fontId="8" fillId="2" borderId="20" xfId="3" applyFont="1" applyFill="1" applyBorder="1" applyAlignment="1">
      <alignment wrapText="1"/>
    </xf>
    <xf numFmtId="0" fontId="8" fillId="0" borderId="21" xfId="3" applyFont="1" applyBorder="1" applyAlignment="1">
      <alignment vertical="top" wrapText="1"/>
    </xf>
    <xf numFmtId="0" fontId="8" fillId="2" borderId="24" xfId="3" applyFont="1" applyFill="1" applyBorder="1" applyAlignment="1">
      <alignment wrapText="1"/>
    </xf>
    <xf numFmtId="0" fontId="8" fillId="0" borderId="25" xfId="3" applyFont="1" applyBorder="1" applyAlignment="1">
      <alignment vertical="top" wrapText="1"/>
    </xf>
    <xf numFmtId="1" fontId="8" fillId="0" borderId="25" xfId="3" applyNumberFormat="1" applyFont="1" applyBorder="1" applyAlignment="1">
      <alignment vertical="top" wrapText="1"/>
    </xf>
    <xf numFmtId="0" fontId="8" fillId="2" borderId="25" xfId="3" applyFont="1" applyFill="1" applyBorder="1" applyAlignment="1">
      <alignment wrapText="1"/>
    </xf>
    <xf numFmtId="0" fontId="8" fillId="0" borderId="26" xfId="3" applyFont="1" applyBorder="1" applyAlignment="1">
      <alignment vertical="top" wrapText="1"/>
    </xf>
    <xf numFmtId="0" fontId="14" fillId="3" borderId="40" xfId="3" applyFont="1" applyFill="1" applyBorder="1" applyAlignment="1">
      <alignment horizontal="center" vertical="center" wrapText="1"/>
    </xf>
    <xf numFmtId="0" fontId="8" fillId="3" borderId="41" xfId="3" applyFont="1" applyFill="1" applyBorder="1" applyAlignment="1">
      <alignment horizontal="center" vertical="center" textRotation="90" wrapText="1"/>
    </xf>
    <xf numFmtId="0" fontId="8" fillId="3" borderId="40" xfId="3" applyFont="1" applyFill="1" applyBorder="1" applyAlignment="1">
      <alignment horizontal="center" vertical="center" wrapText="1"/>
    </xf>
    <xf numFmtId="0" fontId="8" fillId="3" borderId="41" xfId="3" applyFont="1" applyFill="1" applyBorder="1" applyAlignment="1">
      <alignment horizontal="center" vertical="center" wrapText="1"/>
    </xf>
    <xf numFmtId="0" fontId="14" fillId="3" borderId="41" xfId="3" applyFont="1" applyFill="1" applyBorder="1" applyAlignment="1">
      <alignment horizontal="center" vertical="center" wrapText="1"/>
    </xf>
    <xf numFmtId="0" fontId="8" fillId="3" borderId="41" xfId="3" applyFont="1" applyFill="1" applyBorder="1" applyAlignment="1">
      <alignment horizontal="center" wrapText="1"/>
    </xf>
    <xf numFmtId="0" fontId="8" fillId="3" borderId="1" xfId="3" applyFont="1" applyFill="1" applyBorder="1" applyAlignment="1">
      <alignment horizontal="centerContinuous"/>
    </xf>
    <xf numFmtId="0" fontId="8" fillId="3" borderId="3" xfId="3" applyFont="1" applyFill="1" applyBorder="1" applyAlignment="1">
      <alignment horizontal="centerContinuous"/>
    </xf>
    <xf numFmtId="0" fontId="8" fillId="3" borderId="4" xfId="3" applyFont="1" applyFill="1" applyBorder="1" applyAlignment="1">
      <alignment horizontal="centerContinuous"/>
    </xf>
    <xf numFmtId="0" fontId="8" fillId="3" borderId="27" xfId="3" applyFont="1" applyFill="1" applyBorder="1" applyAlignment="1">
      <alignment horizontal="center"/>
    </xf>
    <xf numFmtId="0" fontId="8" fillId="3" borderId="27" xfId="3" applyFont="1" applyFill="1" applyBorder="1"/>
    <xf numFmtId="0" fontId="8" fillId="3" borderId="34" xfId="3" applyFont="1" applyFill="1" applyBorder="1"/>
    <xf numFmtId="0" fontId="8" fillId="0" borderId="1" xfId="3" applyFont="1" applyBorder="1" applyAlignment="1">
      <alignment wrapText="1"/>
    </xf>
    <xf numFmtId="0" fontId="8" fillId="0" borderId="3" xfId="3" applyFont="1" applyBorder="1" applyAlignment="1">
      <alignment wrapText="1"/>
    </xf>
    <xf numFmtId="0" fontId="8" fillId="4" borderId="20" xfId="3" applyFont="1" applyFill="1" applyBorder="1"/>
    <xf numFmtId="0" fontId="8" fillId="0" borderId="20" xfId="3" applyFont="1" applyBorder="1"/>
    <xf numFmtId="0" fontId="8" fillId="0" borderId="3" xfId="3" applyFont="1" applyBorder="1" applyAlignment="1">
      <alignment horizontal="center"/>
    </xf>
    <xf numFmtId="0" fontId="8" fillId="0" borderId="3" xfId="3" applyFont="1" applyBorder="1"/>
    <xf numFmtId="0" fontId="8" fillId="0" borderId="42" xfId="3" applyFont="1" applyBorder="1"/>
    <xf numFmtId="0" fontId="8" fillId="0" borderId="28" xfId="3" applyFont="1" applyBorder="1"/>
    <xf numFmtId="0" fontId="8" fillId="0" borderId="0" xfId="3" applyFont="1"/>
    <xf numFmtId="0" fontId="8" fillId="4" borderId="22" xfId="3" applyFont="1" applyFill="1" applyBorder="1"/>
    <xf numFmtId="14" fontId="8" fillId="4" borderId="22" xfId="3" applyNumberFormat="1" applyFont="1" applyFill="1" applyBorder="1"/>
    <xf numFmtId="0" fontId="8" fillId="0" borderId="22" xfId="3" applyFont="1" applyBorder="1"/>
    <xf numFmtId="0" fontId="8" fillId="4" borderId="17" xfId="3" applyFont="1" applyFill="1" applyBorder="1" applyAlignment="1">
      <alignment wrapText="1"/>
    </xf>
    <xf numFmtId="0" fontId="8" fillId="4" borderId="15" xfId="3" applyFont="1" applyFill="1" applyBorder="1" applyAlignment="1">
      <alignment wrapText="1"/>
    </xf>
    <xf numFmtId="14" fontId="8" fillId="4" borderId="16" xfId="3" applyNumberFormat="1" applyFont="1" applyFill="1" applyBorder="1" applyAlignment="1">
      <alignment horizontal="left"/>
    </xf>
    <xf numFmtId="0" fontId="8" fillId="0" borderId="0" xfId="3" applyFont="1" applyAlignment="1">
      <alignment horizontal="right"/>
    </xf>
    <xf numFmtId="0" fontId="8" fillId="0" borderId="37" xfId="3" applyFont="1" applyBorder="1"/>
    <xf numFmtId="0" fontId="8" fillId="4" borderId="16" xfId="3" applyFont="1" applyFill="1" applyBorder="1"/>
    <xf numFmtId="0" fontId="8" fillId="4" borderId="25" xfId="3" applyFont="1" applyFill="1" applyBorder="1"/>
    <xf numFmtId="14" fontId="8" fillId="0" borderId="0" xfId="3" applyNumberFormat="1" applyFont="1"/>
    <xf numFmtId="0" fontId="7" fillId="0" borderId="0" xfId="3"/>
    <xf numFmtId="0" fontId="7" fillId="0" borderId="29" xfId="3" applyBorder="1"/>
    <xf numFmtId="0" fontId="8" fillId="0" borderId="8" xfId="3" applyFont="1" applyBorder="1"/>
    <xf numFmtId="0" fontId="8" fillId="0" borderId="10" xfId="3" applyFont="1" applyBorder="1"/>
    <xf numFmtId="0" fontId="8" fillId="4" borderId="43" xfId="3" applyFont="1" applyFill="1" applyBorder="1"/>
    <xf numFmtId="0" fontId="8" fillId="0" borderId="43" xfId="3" applyFont="1" applyBorder="1"/>
    <xf numFmtId="0" fontId="8" fillId="0" borderId="10" xfId="3" applyFont="1" applyBorder="1" applyAlignment="1">
      <alignment wrapText="1"/>
    </xf>
    <xf numFmtId="0" fontId="7" fillId="0" borderId="10" xfId="3" applyBorder="1"/>
    <xf numFmtId="0" fontId="7" fillId="0" borderId="11" xfId="3" applyBorder="1"/>
    <xf numFmtId="0" fontId="16" fillId="0" borderId="0" xfId="4" applyFont="1" applyAlignment="1" applyProtection="1"/>
    <xf numFmtId="0" fontId="16" fillId="0" borderId="0" xfId="4" applyFont="1" applyAlignment="1" applyProtection="1">
      <alignment horizontal="left"/>
    </xf>
    <xf numFmtId="0" fontId="8" fillId="0" borderId="0" xfId="3" applyFont="1" applyAlignment="1">
      <alignment horizontal="centerContinuous"/>
    </xf>
    <xf numFmtId="0" fontId="10" fillId="0" borderId="0" xfId="3" applyFont="1" applyAlignment="1">
      <alignment horizontal="centerContinuous" wrapText="1"/>
    </xf>
    <xf numFmtId="0" fontId="16" fillId="0" borderId="0" xfId="4" applyFont="1" applyBorder="1" applyAlignment="1" applyProtection="1"/>
    <xf numFmtId="0" fontId="1" fillId="0" borderId="0" xfId="1" applyAlignment="1">
      <alignment horizontal="center" wrapText="1"/>
    </xf>
    <xf numFmtId="0" fontId="1" fillId="0" borderId="7" xfId="1" applyBorder="1" applyAlignment="1">
      <alignment horizontal="left" wrapText="1"/>
    </xf>
    <xf numFmtId="0" fontId="2" fillId="0" borderId="6" xfId="1" applyFont="1" applyBorder="1" applyAlignment="1">
      <alignment horizontal="right"/>
    </xf>
    <xf numFmtId="0" fontId="1" fillId="0" borderId="30" xfId="1" applyBorder="1"/>
    <xf numFmtId="0" fontId="1" fillId="0" borderId="32" xfId="1" applyBorder="1" applyAlignment="1">
      <alignment horizontal="left" wrapText="1"/>
    </xf>
    <xf numFmtId="0" fontId="2" fillId="0" borderId="31" xfId="1" applyFont="1" applyBorder="1" applyAlignment="1">
      <alignment horizontal="right"/>
    </xf>
    <xf numFmtId="0" fontId="1" fillId="0" borderId="33" xfId="1" applyBorder="1"/>
    <xf numFmtId="0" fontId="1" fillId="0" borderId="14" xfId="1" applyBorder="1" applyAlignment="1">
      <alignment horizontal="left" wrapText="1"/>
    </xf>
    <xf numFmtId="0" fontId="2" fillId="0" borderId="13" xfId="1" applyFont="1" applyBorder="1" applyAlignment="1">
      <alignment horizontal="right"/>
    </xf>
    <xf numFmtId="14" fontId="1" fillId="0" borderId="17" xfId="1" applyNumberFormat="1" applyBorder="1" applyAlignment="1">
      <alignment horizontal="left" wrapText="1"/>
    </xf>
    <xf numFmtId="0" fontId="2" fillId="0" borderId="16" xfId="1" applyFont="1" applyBorder="1" applyAlignment="1">
      <alignment horizontal="right"/>
    </xf>
    <xf numFmtId="0" fontId="2" fillId="0" borderId="22" xfId="1" applyFont="1" applyBorder="1"/>
    <xf numFmtId="0" fontId="1" fillId="0" borderId="7" xfId="1" applyBorder="1" applyAlignment="1">
      <alignment horizontal="center" wrapText="1"/>
    </xf>
    <xf numFmtId="0" fontId="1" fillId="0" borderId="31" xfId="1" applyBorder="1" applyAlignment="1">
      <alignment horizontal="right" wrapText="1"/>
    </xf>
    <xf numFmtId="0" fontId="1" fillId="0" borderId="31" xfId="1" applyBorder="1" applyAlignment="1">
      <alignment horizontal="right"/>
    </xf>
    <xf numFmtId="0" fontId="1" fillId="0" borderId="14" xfId="1" applyBorder="1" applyAlignment="1">
      <alignment horizontal="center" wrapText="1"/>
    </xf>
    <xf numFmtId="0" fontId="2" fillId="0" borderId="13" xfId="1" applyFont="1" applyBorder="1"/>
    <xf numFmtId="0" fontId="18" fillId="0" borderId="6" xfId="1" applyFont="1" applyBorder="1"/>
    <xf numFmtId="0" fontId="1" fillId="0" borderId="30" xfId="1" applyBorder="1" applyAlignment="1">
      <alignment vertical="center" wrapText="1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 wrapText="1"/>
    </xf>
    <xf numFmtId="0" fontId="2" fillId="0" borderId="22" xfId="1" applyFont="1" applyBorder="1" applyAlignment="1">
      <alignment horizontal="center" wrapText="1"/>
    </xf>
    <xf numFmtId="0" fontId="2" fillId="0" borderId="31" xfId="1" applyFont="1" applyBorder="1"/>
    <xf numFmtId="0" fontId="1" fillId="0" borderId="7" xfId="1" applyBorder="1" applyAlignment="1">
      <alignment vertical="center" wrapText="1"/>
    </xf>
    <xf numFmtId="0" fontId="2" fillId="0" borderId="14" xfId="1" applyFont="1" applyBorder="1" applyAlignment="1">
      <alignment horizontal="center" wrapText="1"/>
    </xf>
    <xf numFmtId="0" fontId="1" fillId="0" borderId="33" xfId="1" applyBorder="1" applyAlignment="1">
      <alignment vertical="center"/>
    </xf>
    <xf numFmtId="0" fontId="1" fillId="0" borderId="33" xfId="1" applyBorder="1" applyAlignment="1">
      <alignment vertical="center" wrapText="1"/>
    </xf>
    <xf numFmtId="0" fontId="2" fillId="0" borderId="22" xfId="1" applyFont="1" applyBorder="1" applyAlignment="1">
      <alignment horizontal="left" wrapText="1"/>
    </xf>
    <xf numFmtId="0" fontId="1" fillId="0" borderId="30" xfId="1" applyBorder="1" applyAlignment="1">
      <alignment vertical="center"/>
    </xf>
    <xf numFmtId="0" fontId="1" fillId="0" borderId="7" xfId="1" applyBorder="1" applyAlignment="1">
      <alignment horizontal="centerContinuous" vertical="center" wrapText="1"/>
    </xf>
    <xf numFmtId="0" fontId="1" fillId="0" borderId="6" xfId="1" applyBorder="1" applyAlignment="1">
      <alignment horizontal="centerContinuous" vertical="center"/>
    </xf>
    <xf numFmtId="0" fontId="1" fillId="0" borderId="32" xfId="1" applyBorder="1" applyAlignment="1">
      <alignment horizontal="center" wrapText="1"/>
    </xf>
    <xf numFmtId="0" fontId="1" fillId="0" borderId="17" xfId="1" applyBorder="1" applyAlignment="1">
      <alignment horizontal="center" wrapText="1"/>
    </xf>
    <xf numFmtId="0" fontId="2" fillId="0" borderId="16" xfId="1" applyFont="1" applyBorder="1"/>
    <xf numFmtId="0" fontId="1" fillId="0" borderId="14" xfId="1" applyBorder="1" applyAlignment="1">
      <alignment horizontal="centerContinuous" wrapText="1"/>
    </xf>
    <xf numFmtId="0" fontId="19" fillId="0" borderId="13" xfId="1" applyFont="1" applyBorder="1" applyAlignment="1">
      <alignment horizontal="centerContinuous"/>
    </xf>
    <xf numFmtId="0" fontId="1" fillId="0" borderId="0" xfId="1" applyAlignment="1">
      <alignment wrapText="1"/>
    </xf>
    <xf numFmtId="0" fontId="20" fillId="0" borderId="0" xfId="1" applyFont="1"/>
    <xf numFmtId="0" fontId="2" fillId="0" borderId="0" xfId="1" applyFont="1"/>
    <xf numFmtId="0" fontId="21" fillId="0" borderId="0" xfId="1" applyFont="1"/>
    <xf numFmtId="0" fontId="21" fillId="0" borderId="5" xfId="1" applyFont="1" applyBorder="1"/>
    <xf numFmtId="0" fontId="2" fillId="0" borderId="5" xfId="1" applyFont="1" applyBorder="1"/>
    <xf numFmtId="0" fontId="21" fillId="0" borderId="0" xfId="1" applyFont="1" applyAlignment="1">
      <alignment horizontal="right"/>
    </xf>
    <xf numFmtId="0" fontId="2" fillId="0" borderId="17" xfId="1" applyFont="1" applyBorder="1" applyAlignment="1">
      <alignment horizontal="center"/>
    </xf>
    <xf numFmtId="0" fontId="20" fillId="0" borderId="0" xfId="1" applyFont="1" applyAlignment="1">
      <alignment horizontal="right"/>
    </xf>
    <xf numFmtId="0" fontId="2" fillId="0" borderId="5" xfId="1" applyFont="1" applyBorder="1" applyAlignment="1">
      <alignment horizontal="right"/>
    </xf>
    <xf numFmtId="0" fontId="22" fillId="0" borderId="0" xfId="1" applyFont="1" applyAlignment="1">
      <alignment horizontal="center"/>
    </xf>
    <xf numFmtId="0" fontId="1" fillId="0" borderId="25" xfId="1" applyBorder="1" applyAlignment="1">
      <alignment horizontal="center"/>
    </xf>
    <xf numFmtId="0" fontId="2" fillId="0" borderId="25" xfId="1" applyFont="1" applyBorder="1" applyAlignment="1">
      <alignment horizontal="center" wrapText="1"/>
    </xf>
    <xf numFmtId="0" fontId="2" fillId="0" borderId="17" xfId="1" applyFont="1" applyBorder="1" applyAlignment="1">
      <alignment horizontal="centerContinuous"/>
    </xf>
    <xf numFmtId="0" fontId="2" fillId="0" borderId="15" xfId="1" applyFont="1" applyBorder="1" applyAlignment="1">
      <alignment horizontal="centerContinuous"/>
    </xf>
    <xf numFmtId="0" fontId="2" fillId="0" borderId="16" xfId="1" applyFont="1" applyBorder="1" applyAlignment="1">
      <alignment horizontal="centerContinuous"/>
    </xf>
    <xf numFmtId="0" fontId="2" fillId="0" borderId="25" xfId="1" applyFont="1" applyBorder="1"/>
    <xf numFmtId="0" fontId="2" fillId="0" borderId="7" xfId="1" applyFont="1" applyBorder="1"/>
    <xf numFmtId="14" fontId="2" fillId="0" borderId="5" xfId="1" applyNumberFormat="1" applyFont="1" applyBorder="1"/>
    <xf numFmtId="0" fontId="2" fillId="0" borderId="5" xfId="1" applyFont="1" applyBorder="1" applyAlignment="1">
      <alignment horizontal="left"/>
    </xf>
    <xf numFmtId="0" fontId="2" fillId="0" borderId="6" xfId="1" applyFont="1" applyBorder="1" applyAlignment="1">
      <alignment horizontal="left"/>
    </xf>
    <xf numFmtId="0" fontId="1" fillId="0" borderId="14" xfId="1" applyBorder="1" applyAlignment="1">
      <alignment horizontal="centerContinuous"/>
    </xf>
    <xf numFmtId="0" fontId="2" fillId="0" borderId="13" xfId="1" applyFont="1" applyBorder="1" applyAlignment="1">
      <alignment horizontal="centerContinuous"/>
    </xf>
    <xf numFmtId="14" fontId="1" fillId="0" borderId="0" xfId="1" applyNumberFormat="1" applyAlignment="1">
      <alignment horizontal="left"/>
    </xf>
    <xf numFmtId="0" fontId="20" fillId="0" borderId="7" xfId="1" applyFont="1" applyBorder="1" applyAlignment="1">
      <alignment horizontal="right"/>
    </xf>
    <xf numFmtId="0" fontId="20" fillId="0" borderId="5" xfId="1" applyFont="1" applyBorder="1" applyAlignment="1">
      <alignment horizontal="right"/>
    </xf>
    <xf numFmtId="0" fontId="20" fillId="0" borderId="6" xfId="1" applyFont="1" applyBorder="1" applyAlignment="1">
      <alignment horizontal="right"/>
    </xf>
    <xf numFmtId="0" fontId="2" fillId="0" borderId="16" xfId="1" applyFont="1" applyBorder="1" applyAlignment="1">
      <alignment horizontal="center" wrapText="1"/>
    </xf>
    <xf numFmtId="0" fontId="2" fillId="0" borderId="12" xfId="1" applyFont="1" applyBorder="1"/>
    <xf numFmtId="0" fontId="1" fillId="0" borderId="0" xfId="1" applyAlignment="1">
      <alignment horizontal="right"/>
    </xf>
    <xf numFmtId="14" fontId="1" fillId="0" borderId="0" xfId="1" applyNumberFormat="1"/>
    <xf numFmtId="0" fontId="1" fillId="0" borderId="0" xfId="1" applyAlignment="1">
      <alignment horizontal="left"/>
    </xf>
    <xf numFmtId="0" fontId="23" fillId="0" borderId="0" xfId="1" applyFont="1" applyAlignment="1">
      <alignment horizontal="right"/>
    </xf>
    <xf numFmtId="0" fontId="23" fillId="0" borderId="0" xfId="1" applyFont="1"/>
    <xf numFmtId="0" fontId="23" fillId="0" borderId="0" xfId="1" applyFont="1" applyAlignment="1">
      <alignment horizontal="left"/>
    </xf>
    <xf numFmtId="0" fontId="21" fillId="0" borderId="19" xfId="1" applyFont="1" applyBorder="1"/>
    <xf numFmtId="0" fontId="21" fillId="0" borderId="20" xfId="1" applyFont="1" applyBorder="1"/>
    <xf numFmtId="0" fontId="21" fillId="0" borderId="21" xfId="1" applyFont="1" applyBorder="1"/>
    <xf numFmtId="0" fontId="21" fillId="0" borderId="24" xfId="1" applyFont="1" applyBorder="1"/>
    <xf numFmtId="0" fontId="21" fillId="0" borderId="25" xfId="1" applyFont="1" applyBorder="1"/>
    <xf numFmtId="0" fontId="21" fillId="0" borderId="26" xfId="1" applyFont="1" applyBorder="1"/>
    <xf numFmtId="0" fontId="21" fillId="0" borderId="0" xfId="1" applyFont="1" applyAlignment="1">
      <alignment horizontal="center" vertical="top" wrapText="1"/>
    </xf>
    <xf numFmtId="0" fontId="21" fillId="0" borderId="44" xfId="1" applyFont="1" applyBorder="1" applyAlignment="1">
      <alignment horizontal="center" vertical="top" wrapText="1"/>
    </xf>
    <xf numFmtId="0" fontId="21" fillId="0" borderId="25" xfId="1" applyFont="1" applyBorder="1" applyAlignment="1">
      <alignment horizontal="center" vertical="top" wrapText="1"/>
    </xf>
    <xf numFmtId="0" fontId="21" fillId="2" borderId="30" xfId="1" applyFont="1" applyFill="1" applyBorder="1" applyAlignment="1">
      <alignment horizontal="center" vertical="top" wrapText="1"/>
    </xf>
    <xf numFmtId="0" fontId="21" fillId="2" borderId="25" xfId="1" applyFont="1" applyFill="1" applyBorder="1" applyAlignment="1">
      <alignment horizontal="center" vertical="top" wrapText="1"/>
    </xf>
    <xf numFmtId="0" fontId="21" fillId="0" borderId="30" xfId="1" applyFont="1" applyBorder="1" applyAlignment="1">
      <alignment horizontal="center" vertical="top" wrapText="1"/>
    </xf>
    <xf numFmtId="0" fontId="21" fillId="0" borderId="45" xfId="1" applyFont="1" applyBorder="1" applyAlignment="1">
      <alignment horizontal="center" vertical="top" wrapText="1"/>
    </xf>
    <xf numFmtId="0" fontId="21" fillId="0" borderId="46" xfId="1" applyFont="1" applyBorder="1"/>
    <xf numFmtId="0" fontId="21" fillId="0" borderId="17" xfId="1" applyFont="1" applyBorder="1" applyAlignment="1">
      <alignment horizontal="centerContinuous"/>
    </xf>
    <xf numFmtId="0" fontId="21" fillId="0" borderId="15" xfId="1" applyFont="1" applyBorder="1" applyAlignment="1">
      <alignment horizontal="centerContinuous"/>
    </xf>
    <xf numFmtId="0" fontId="21" fillId="0" borderId="16" xfId="1" applyFont="1" applyBorder="1" applyAlignment="1">
      <alignment horizontal="centerContinuous"/>
    </xf>
    <xf numFmtId="0" fontId="21" fillId="2" borderId="22" xfId="1" applyFont="1" applyFill="1" applyBorder="1"/>
    <xf numFmtId="0" fontId="21" fillId="0" borderId="22" xfId="1" applyFont="1" applyBorder="1"/>
    <xf numFmtId="0" fontId="21" fillId="0" borderId="47" xfId="1" applyFont="1" applyBorder="1" applyAlignment="1">
      <alignment horizontal="centerContinuous" vertical="top" wrapText="1"/>
    </xf>
    <xf numFmtId="0" fontId="21" fillId="0" borderId="0" xfId="1" applyFont="1" applyAlignment="1">
      <alignment vertical="top"/>
    </xf>
    <xf numFmtId="0" fontId="21" fillId="0" borderId="48" xfId="1" applyFont="1" applyBorder="1" applyAlignment="1">
      <alignment vertical="top"/>
    </xf>
    <xf numFmtId="0" fontId="21" fillId="0" borderId="15" xfId="1" applyFont="1" applyBorder="1" applyAlignment="1">
      <alignment vertical="top"/>
    </xf>
    <xf numFmtId="0" fontId="21" fillId="0" borderId="16" xfId="1" applyFont="1" applyBorder="1" applyAlignment="1">
      <alignment vertical="top"/>
    </xf>
    <xf numFmtId="0" fontId="21" fillId="0" borderId="17" xfId="1" applyFont="1" applyBorder="1" applyAlignment="1">
      <alignment vertical="top"/>
    </xf>
    <xf numFmtId="0" fontId="21" fillId="0" borderId="49" xfId="1" applyFont="1" applyBorder="1" applyAlignment="1">
      <alignment vertical="top"/>
    </xf>
    <xf numFmtId="0" fontId="21" fillId="0" borderId="38" xfId="1" applyFont="1" applyBorder="1"/>
    <xf numFmtId="0" fontId="21" fillId="0" borderId="6" xfId="1" applyFont="1" applyBorder="1"/>
    <xf numFmtId="0" fontId="21" fillId="0" borderId="6" xfId="1" applyFont="1" applyBorder="1" applyAlignment="1">
      <alignment vertical="top"/>
    </xf>
    <xf numFmtId="0" fontId="21" fillId="0" borderId="7" xfId="1" applyFont="1" applyBorder="1"/>
    <xf numFmtId="0" fontId="21" fillId="0" borderId="5" xfId="1" applyFont="1" applyBorder="1" applyAlignment="1">
      <alignment horizontal="left"/>
    </xf>
    <xf numFmtId="0" fontId="21" fillId="0" borderId="39" xfId="1" applyFont="1" applyBorder="1"/>
    <xf numFmtId="0" fontId="21" fillId="0" borderId="8" xfId="1" applyFont="1" applyBorder="1"/>
    <xf numFmtId="0" fontId="21" fillId="0" borderId="9" xfId="1" applyFont="1" applyBorder="1"/>
    <xf numFmtId="0" fontId="21" fillId="0" borderId="35" xfId="1" applyFont="1" applyBorder="1"/>
    <xf numFmtId="0" fontId="21" fillId="0" borderId="43" xfId="1" applyFont="1" applyBorder="1" applyAlignment="1">
      <alignment vertical="top"/>
    </xf>
    <xf numFmtId="0" fontId="21" fillId="0" borderId="10" xfId="1" applyFont="1" applyBorder="1"/>
    <xf numFmtId="0" fontId="21" fillId="0" borderId="11" xfId="1" applyFont="1" applyBorder="1"/>
    <xf numFmtId="0" fontId="21" fillId="0" borderId="0" xfId="1" applyFont="1" applyAlignment="1">
      <alignment horizontal="centerContinuous"/>
    </xf>
    <xf numFmtId="0" fontId="20" fillId="0" borderId="0" xfId="1" applyFont="1" applyAlignment="1">
      <alignment horizontal="centerContinuous"/>
    </xf>
    <xf numFmtId="0" fontId="4" fillId="0" borderId="0" xfId="2" applyAlignment="1" applyProtection="1">
      <alignment horizontal="left"/>
    </xf>
    <xf numFmtId="0" fontId="24" fillId="0" borderId="0" xfId="1" applyFont="1"/>
    <xf numFmtId="0" fontId="24" fillId="0" borderId="7" xfId="1" applyFont="1" applyBorder="1"/>
    <xf numFmtId="0" fontId="24" fillId="0" borderId="5" xfId="1" applyFont="1" applyBorder="1"/>
    <xf numFmtId="0" fontId="24" fillId="0" borderId="31" xfId="1" applyFont="1" applyBorder="1"/>
    <xf numFmtId="0" fontId="24" fillId="0" borderId="14" xfId="1" applyFont="1" applyBorder="1"/>
    <xf numFmtId="0" fontId="24" fillId="0" borderId="12" xfId="1" applyFont="1" applyBorder="1"/>
    <xf numFmtId="0" fontId="24" fillId="0" borderId="32" xfId="1" applyFont="1" applyBorder="1"/>
    <xf numFmtId="0" fontId="24" fillId="0" borderId="0" xfId="1" applyFont="1" applyAlignment="1">
      <alignment horizontal="right"/>
    </xf>
    <xf numFmtId="0" fontId="25" fillId="0" borderId="31" xfId="1" applyFont="1" applyBorder="1"/>
    <xf numFmtId="0" fontId="24" fillId="0" borderId="15" xfId="1" applyFont="1" applyBorder="1" applyAlignment="1">
      <alignment horizontal="left"/>
    </xf>
    <xf numFmtId="0" fontId="24" fillId="0" borderId="15" xfId="1" applyFont="1" applyBorder="1" applyAlignment="1">
      <alignment horizontal="right"/>
    </xf>
    <xf numFmtId="0" fontId="21" fillId="0" borderId="31" xfId="1" applyFont="1" applyBorder="1"/>
    <xf numFmtId="0" fontId="20" fillId="0" borderId="31" xfId="1" applyFont="1" applyBorder="1"/>
    <xf numFmtId="0" fontId="24" fillId="0" borderId="17" xfId="1" applyFont="1" applyBorder="1"/>
    <xf numFmtId="0" fontId="25" fillId="0" borderId="0" xfId="1" applyFont="1"/>
    <xf numFmtId="0" fontId="24" fillId="0" borderId="0" xfId="1" applyFont="1" applyAlignment="1">
      <alignment horizontal="center"/>
    </xf>
    <xf numFmtId="0" fontId="24" fillId="0" borderId="31" xfId="1" applyFont="1" applyBorder="1" applyAlignment="1">
      <alignment horizontal="right"/>
    </xf>
    <xf numFmtId="0" fontId="26" fillId="0" borderId="31" xfId="1" applyFont="1" applyBorder="1"/>
    <xf numFmtId="0" fontId="24" fillId="0" borderId="15" xfId="1" applyFont="1" applyBorder="1"/>
    <xf numFmtId="0" fontId="27" fillId="0" borderId="0" xfId="1" applyFont="1"/>
    <xf numFmtId="0" fontId="27" fillId="0" borderId="31" xfId="1" applyFont="1" applyBorder="1"/>
    <xf numFmtId="0" fontId="24" fillId="0" borderId="5" xfId="1" applyFont="1" applyBorder="1" applyAlignment="1">
      <alignment horizontal="left"/>
    </xf>
    <xf numFmtId="0" fontId="24" fillId="0" borderId="0" xfId="1" applyFont="1" applyAlignment="1">
      <alignment horizontal="left"/>
    </xf>
    <xf numFmtId="0" fontId="24" fillId="0" borderId="7" xfId="1" applyFont="1" applyBorder="1" applyAlignment="1">
      <alignment horizontal="left"/>
    </xf>
    <xf numFmtId="0" fontId="24" fillId="0" borderId="32" xfId="1" applyFont="1" applyBorder="1" applyAlignment="1">
      <alignment horizontal="left"/>
    </xf>
    <xf numFmtId="0" fontId="23" fillId="0" borderId="31" xfId="1" applyFont="1" applyBorder="1"/>
    <xf numFmtId="0" fontId="28" fillId="0" borderId="31" xfId="1" applyFont="1" applyBorder="1"/>
    <xf numFmtId="0" fontId="22" fillId="0" borderId="12" xfId="1" applyFont="1" applyBorder="1" applyAlignment="1">
      <alignment horizontal="center"/>
    </xf>
    <xf numFmtId="0" fontId="24" fillId="0" borderId="13" xfId="1" applyFont="1" applyBorder="1"/>
    <xf numFmtId="0" fontId="29" fillId="0" borderId="12" xfId="1" applyFont="1" applyBorder="1"/>
    <xf numFmtId="0" fontId="29" fillId="0" borderId="12" xfId="1" applyFont="1" applyBorder="1" applyAlignment="1">
      <alignment horizontal="center"/>
    </xf>
    <xf numFmtId="0" fontId="1" fillId="0" borderId="25" xfId="1" applyBorder="1" applyAlignment="1">
      <alignment wrapText="1"/>
    </xf>
    <xf numFmtId="0" fontId="1" fillId="0" borderId="25" xfId="1" applyBorder="1" applyAlignment="1">
      <alignment horizontal="center" wrapText="1"/>
    </xf>
    <xf numFmtId="0" fontId="1" fillId="0" borderId="32" xfId="1" applyBorder="1" applyAlignment="1">
      <alignment horizontal="right"/>
    </xf>
    <xf numFmtId="0" fontId="1" fillId="0" borderId="14" xfId="1" applyBorder="1" applyAlignment="1">
      <alignment horizontal="right"/>
    </xf>
    <xf numFmtId="0" fontId="2" fillId="0" borderId="13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1" fillId="0" borderId="16" xfId="1" applyBorder="1" applyAlignment="1">
      <alignment horizontal="left"/>
    </xf>
    <xf numFmtId="0" fontId="1" fillId="0" borderId="17" xfId="1" applyBorder="1" applyAlignment="1">
      <alignment horizontal="left"/>
    </xf>
    <xf numFmtId="0" fontId="2" fillId="0" borderId="16" xfId="1" applyFont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3" xfId="1" applyBorder="1" applyAlignment="1">
      <alignment horizontal="center" vertical="center" wrapText="1"/>
    </xf>
    <xf numFmtId="0" fontId="1" fillId="0" borderId="14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28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13" xfId="1" applyBorder="1" applyAlignment="1">
      <alignment horizontal="left"/>
    </xf>
    <xf numFmtId="0" fontId="1" fillId="0" borderId="12" xfId="1" applyBorder="1" applyAlignment="1">
      <alignment horizontal="left"/>
    </xf>
    <xf numFmtId="0" fontId="1" fillId="0" borderId="29" xfId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38" xfId="1" applyBorder="1" applyAlignment="1">
      <alignment horizontal="center"/>
    </xf>
  </cellXfs>
  <cellStyles count="5">
    <cellStyle name="Hyperlink" xfId="2" builtinId="8"/>
    <cellStyle name="Hyperlink_Fmea" xfId="4" xr:uid="{29B424C0-D74D-4A98-A305-D081C78F89FB}"/>
    <cellStyle name="Normal" xfId="0" builtinId="0"/>
    <cellStyle name="Normal 2" xfId="1" xr:uid="{9BAF9058-241C-4515-84B7-C5F305F902CE}"/>
    <cellStyle name="Normal_Fmea" xfId="3" xr:uid="{340D37BA-865B-40A6-9BBD-FE5AB507B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52388</xdr:colOff>
      <xdr:row>33</xdr:row>
      <xdr:rowOff>19050</xdr:rowOff>
    </xdr:from>
    <xdr:to>
      <xdr:col>0</xdr:col>
      <xdr:colOff>176213</xdr:colOff>
      <xdr:row>33</xdr:row>
      <xdr:rowOff>133350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10CFC91-B73A-4990-92E6-CB1E4F191E7D}"/>
            </a:ext>
          </a:extLst>
        </xdr:cNvPr>
        <xdr:cNvSpPr>
          <a:spLocks noChangeArrowheads="1"/>
        </xdr:cNvSpPr>
      </xdr:nvSpPr>
      <xdr:spPr bwMode="auto">
        <a:xfrm>
          <a:off x="52388" y="536257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33</xdr:row>
      <xdr:rowOff>9525</xdr:rowOff>
    </xdr:from>
    <xdr:to>
      <xdr:col>1</xdr:col>
      <xdr:colOff>642938</xdr:colOff>
      <xdr:row>33</xdr:row>
      <xdr:rowOff>152400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71AE35C-4B35-42EF-B531-02609247A2CF}"/>
            </a:ext>
          </a:extLst>
        </xdr:cNvPr>
        <xdr:cNvSpPr>
          <a:spLocks noChangeArrowheads="1"/>
        </xdr:cNvSpPr>
      </xdr:nvSpPr>
      <xdr:spPr bwMode="auto">
        <a:xfrm>
          <a:off x="1128713" y="535305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33</xdr:row>
      <xdr:rowOff>9525</xdr:rowOff>
    </xdr:from>
    <xdr:to>
      <xdr:col>3</xdr:col>
      <xdr:colOff>28575</xdr:colOff>
      <xdr:row>33</xdr:row>
      <xdr:rowOff>142875</xdr:rowOff>
    </xdr:to>
    <xdr:grpSp>
      <xdr:nvGrpSpPr>
        <xdr:cNvPr id="4" name="Group 5">
          <a:extLst>
            <a:ext uri="{FF2B5EF4-FFF2-40B4-BE49-F238E27FC236}">
              <a16:creationId xmlns:a16="http://schemas.microsoft.com/office/drawing/2014/main" id="{871BE423-7D6F-4D44-AA50-C4D45CD55165}"/>
            </a:ext>
          </a:extLst>
        </xdr:cNvPr>
        <xdr:cNvGrpSpPr>
          <a:grpSpLocks/>
        </xdr:cNvGrpSpPr>
      </xdr:nvGrpSpPr>
      <xdr:grpSpPr bwMode="auto">
        <a:xfrm>
          <a:off x="2232933" y="8024132"/>
          <a:ext cx="142875" cy="133350"/>
          <a:chOff x="219" y="873"/>
          <a:chExt cx="18" cy="18"/>
        </a:xfrm>
      </xdr:grpSpPr>
      <xdr:sp macro="" textlink="">
        <xdr:nvSpPr>
          <xdr:cNvPr id="5" name="AutoShape 3">
            <a:extLst>
              <a:ext uri="{FF2B5EF4-FFF2-40B4-BE49-F238E27FC236}">
                <a16:creationId xmlns:a16="http://schemas.microsoft.com/office/drawing/2014/main" id="{1E217A0A-F902-819B-342B-02673FAFC18A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" name="AutoShape 4">
            <a:extLst>
              <a:ext uri="{FF2B5EF4-FFF2-40B4-BE49-F238E27FC236}">
                <a16:creationId xmlns:a16="http://schemas.microsoft.com/office/drawing/2014/main" id="{B2E748F1-2110-A901-DB39-82C079C866A0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33</xdr:row>
      <xdr:rowOff>19050</xdr:rowOff>
    </xdr:from>
    <xdr:to>
      <xdr:col>6</xdr:col>
      <xdr:colOff>142875</xdr:colOff>
      <xdr:row>33</xdr:row>
      <xdr:rowOff>142875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6327BFCE-E5B5-43FF-BE3F-CD75DA2BA9A5}"/>
            </a:ext>
          </a:extLst>
        </xdr:cNvPr>
        <xdr:cNvSpPr>
          <a:spLocks noChangeArrowheads="1"/>
        </xdr:cNvSpPr>
      </xdr:nvSpPr>
      <xdr:spPr bwMode="auto">
        <a:xfrm>
          <a:off x="3895725" y="536257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33</xdr:row>
      <xdr:rowOff>19050</xdr:rowOff>
    </xdr:from>
    <xdr:to>
      <xdr:col>7</xdr:col>
      <xdr:colOff>223838</xdr:colOff>
      <xdr:row>33</xdr:row>
      <xdr:rowOff>142875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768247A-1EDA-456E-B0CE-54487D907774}"/>
            </a:ext>
          </a:extLst>
        </xdr:cNvPr>
        <xdr:cNvSpPr>
          <a:spLocks noChangeArrowheads="1"/>
        </xdr:cNvSpPr>
      </xdr:nvSpPr>
      <xdr:spPr bwMode="auto">
        <a:xfrm>
          <a:off x="4624388" y="536257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33</xdr:row>
      <xdr:rowOff>28575</xdr:rowOff>
    </xdr:from>
    <xdr:to>
      <xdr:col>5</xdr:col>
      <xdr:colOff>804863</xdr:colOff>
      <xdr:row>33</xdr:row>
      <xdr:rowOff>142875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E8D9EFB-4C4E-4483-8E49-570AB2B5839D}"/>
            </a:ext>
          </a:extLst>
        </xdr:cNvPr>
        <xdr:cNvSpPr>
          <a:spLocks noChangeArrowheads="1"/>
        </xdr:cNvSpPr>
      </xdr:nvSpPr>
      <xdr:spPr bwMode="auto">
        <a:xfrm>
          <a:off x="3886200" y="537210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223838</xdr:colOff>
      <xdr:row>33</xdr:row>
      <xdr:rowOff>19050</xdr:rowOff>
    </xdr:from>
    <xdr:to>
      <xdr:col>4</xdr:col>
      <xdr:colOff>385763</xdr:colOff>
      <xdr:row>33</xdr:row>
      <xdr:rowOff>133350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67E4F9B0-F347-4A96-AEE1-0D2BC5CB8B5F}"/>
            </a:ext>
          </a:extLst>
        </xdr:cNvPr>
        <xdr:cNvSpPr>
          <a:spLocks noChangeArrowheads="1"/>
        </xdr:cNvSpPr>
      </xdr:nvSpPr>
      <xdr:spPr bwMode="auto">
        <a:xfrm>
          <a:off x="2814638" y="536257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13</xdr:row>
      <xdr:rowOff>114300</xdr:rowOff>
    </xdr:from>
    <xdr:to>
      <xdr:col>0</xdr:col>
      <xdr:colOff>238125</xdr:colOff>
      <xdr:row>13</xdr:row>
      <xdr:rowOff>228600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58F329BE-D4C8-4135-9BEE-6943BFFD52A9}"/>
            </a:ext>
          </a:extLst>
        </xdr:cNvPr>
        <xdr:cNvSpPr>
          <a:spLocks noChangeArrowheads="1"/>
        </xdr:cNvSpPr>
      </xdr:nvSpPr>
      <xdr:spPr bwMode="auto">
        <a:xfrm>
          <a:off x="114300" y="2219325"/>
          <a:ext cx="123825" cy="4762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100013</xdr:colOff>
      <xdr:row>14</xdr:row>
      <xdr:rowOff>85725</xdr:rowOff>
    </xdr:from>
    <xdr:to>
      <xdr:col>0</xdr:col>
      <xdr:colOff>261938</xdr:colOff>
      <xdr:row>14</xdr:row>
      <xdr:rowOff>228600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3F32162F-250F-450A-B627-F169933D8070}"/>
            </a:ext>
          </a:extLst>
        </xdr:cNvPr>
        <xdr:cNvSpPr>
          <a:spLocks noChangeArrowheads="1"/>
        </xdr:cNvSpPr>
      </xdr:nvSpPr>
      <xdr:spPr bwMode="auto">
        <a:xfrm>
          <a:off x="100013" y="2352675"/>
          <a:ext cx="161925" cy="762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12</xdr:row>
      <xdr:rowOff>95250</xdr:rowOff>
    </xdr:from>
    <xdr:to>
      <xdr:col>0</xdr:col>
      <xdr:colOff>257175</xdr:colOff>
      <xdr:row>12</xdr:row>
      <xdr:rowOff>228600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5A7EB5A3-1BB3-4E64-B5FF-993495958D6C}"/>
            </a:ext>
          </a:extLst>
        </xdr:cNvPr>
        <xdr:cNvGrpSpPr>
          <a:grpSpLocks/>
        </xdr:cNvGrpSpPr>
      </xdr:nvGrpSpPr>
      <xdr:grpSpPr bwMode="auto">
        <a:xfrm>
          <a:off x="114300" y="2360840"/>
          <a:ext cx="142875" cy="133350"/>
          <a:chOff x="219" y="873"/>
          <a:chExt cx="18" cy="18"/>
        </a:xfrm>
      </xdr:grpSpPr>
      <xdr:sp macro="" textlink="">
        <xdr:nvSpPr>
          <xdr:cNvPr id="14" name="AutoShape 13">
            <a:extLst>
              <a:ext uri="{FF2B5EF4-FFF2-40B4-BE49-F238E27FC236}">
                <a16:creationId xmlns:a16="http://schemas.microsoft.com/office/drawing/2014/main" id="{D210FFD6-D190-1224-2776-389674C43605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5" name="AutoShape 14">
            <a:extLst>
              <a:ext uri="{FF2B5EF4-FFF2-40B4-BE49-F238E27FC236}">
                <a16:creationId xmlns:a16="http://schemas.microsoft.com/office/drawing/2014/main" id="{2EBD3D5C-7A2A-3685-0677-F5BC26A054DA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142875</xdr:colOff>
      <xdr:row>17</xdr:row>
      <xdr:rowOff>47625</xdr:rowOff>
    </xdr:from>
    <xdr:to>
      <xdr:col>0</xdr:col>
      <xdr:colOff>276225</xdr:colOff>
      <xdr:row>17</xdr:row>
      <xdr:rowOff>171450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48F1E235-7F43-4EF2-A52B-8DE313A398D2}"/>
            </a:ext>
          </a:extLst>
        </xdr:cNvPr>
        <xdr:cNvSpPr>
          <a:spLocks noChangeArrowheads="1"/>
        </xdr:cNvSpPr>
      </xdr:nvSpPr>
      <xdr:spPr bwMode="auto">
        <a:xfrm>
          <a:off x="142875" y="2800350"/>
          <a:ext cx="133350" cy="114300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133350</xdr:colOff>
      <xdr:row>18</xdr:row>
      <xdr:rowOff>85725</xdr:rowOff>
    </xdr:from>
    <xdr:to>
      <xdr:col>0</xdr:col>
      <xdr:colOff>266700</xdr:colOff>
      <xdr:row>18</xdr:row>
      <xdr:rowOff>209550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FA99AB3-0DB0-48F1-A5A5-52F4B85D9AA5}"/>
            </a:ext>
          </a:extLst>
        </xdr:cNvPr>
        <xdr:cNvSpPr>
          <a:spLocks noChangeArrowheads="1"/>
        </xdr:cNvSpPr>
      </xdr:nvSpPr>
      <xdr:spPr bwMode="auto">
        <a:xfrm>
          <a:off x="133350" y="3000375"/>
          <a:ext cx="1333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152400</xdr:colOff>
      <xdr:row>16</xdr:row>
      <xdr:rowOff>85725</xdr:rowOff>
    </xdr:from>
    <xdr:to>
      <xdr:col>0</xdr:col>
      <xdr:colOff>276225</xdr:colOff>
      <xdr:row>16</xdr:row>
      <xdr:rowOff>200025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AA9B7800-1C6B-4701-88A5-C1BD908AF691}"/>
            </a:ext>
          </a:extLst>
        </xdr:cNvPr>
        <xdr:cNvSpPr>
          <a:spLocks noChangeArrowheads="1"/>
        </xdr:cNvSpPr>
      </xdr:nvSpPr>
      <xdr:spPr bwMode="auto">
        <a:xfrm>
          <a:off x="152400" y="2676525"/>
          <a:ext cx="123825" cy="762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15</xdr:row>
      <xdr:rowOff>104775</xdr:rowOff>
    </xdr:from>
    <xdr:to>
      <xdr:col>0</xdr:col>
      <xdr:colOff>285750</xdr:colOff>
      <xdr:row>15</xdr:row>
      <xdr:rowOff>219075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28226C02-B5B2-4BD2-851E-EF523E4197FD}"/>
            </a:ext>
          </a:extLst>
        </xdr:cNvPr>
        <xdr:cNvSpPr>
          <a:spLocks noChangeArrowheads="1"/>
        </xdr:cNvSpPr>
      </xdr:nvSpPr>
      <xdr:spPr bwMode="auto">
        <a:xfrm>
          <a:off x="123825" y="2533650"/>
          <a:ext cx="161925" cy="5715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52388</xdr:colOff>
      <xdr:row>97</xdr:row>
      <xdr:rowOff>19050</xdr:rowOff>
    </xdr:from>
    <xdr:to>
      <xdr:col>0</xdr:col>
      <xdr:colOff>176213</xdr:colOff>
      <xdr:row>97</xdr:row>
      <xdr:rowOff>133350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E8528FA2-143E-4180-8280-AA2438BD5037}"/>
            </a:ext>
          </a:extLst>
        </xdr:cNvPr>
        <xdr:cNvSpPr>
          <a:spLocks noChangeArrowheads="1"/>
        </xdr:cNvSpPr>
      </xdr:nvSpPr>
      <xdr:spPr bwMode="auto">
        <a:xfrm>
          <a:off x="52388" y="1572577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97</xdr:row>
      <xdr:rowOff>9525</xdr:rowOff>
    </xdr:from>
    <xdr:to>
      <xdr:col>1</xdr:col>
      <xdr:colOff>642938</xdr:colOff>
      <xdr:row>97</xdr:row>
      <xdr:rowOff>152400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5ED2DA20-2FB3-4160-B3A2-9B82E04E1EED}"/>
            </a:ext>
          </a:extLst>
        </xdr:cNvPr>
        <xdr:cNvSpPr>
          <a:spLocks noChangeArrowheads="1"/>
        </xdr:cNvSpPr>
      </xdr:nvSpPr>
      <xdr:spPr bwMode="auto">
        <a:xfrm>
          <a:off x="1128713" y="1571625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97</xdr:row>
      <xdr:rowOff>19050</xdr:rowOff>
    </xdr:from>
    <xdr:to>
      <xdr:col>6</xdr:col>
      <xdr:colOff>142875</xdr:colOff>
      <xdr:row>97</xdr:row>
      <xdr:rowOff>142875</xdr:rowOff>
    </xdr:to>
    <xdr:sp macro="" textlink="">
      <xdr:nvSpPr>
        <xdr:cNvPr id="22" name="AutoShape 24">
          <a:extLst>
            <a:ext uri="{FF2B5EF4-FFF2-40B4-BE49-F238E27FC236}">
              <a16:creationId xmlns:a16="http://schemas.microsoft.com/office/drawing/2014/main" id="{82A4B869-B8ED-45B6-959A-9BE9B2688718}"/>
            </a:ext>
          </a:extLst>
        </xdr:cNvPr>
        <xdr:cNvSpPr>
          <a:spLocks noChangeArrowheads="1"/>
        </xdr:cNvSpPr>
      </xdr:nvSpPr>
      <xdr:spPr bwMode="auto">
        <a:xfrm>
          <a:off x="3895725" y="1572577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97</xdr:row>
      <xdr:rowOff>19050</xdr:rowOff>
    </xdr:from>
    <xdr:to>
      <xdr:col>7</xdr:col>
      <xdr:colOff>223838</xdr:colOff>
      <xdr:row>97</xdr:row>
      <xdr:rowOff>142875</xdr:rowOff>
    </xdr:to>
    <xdr:sp macro="" textlink="">
      <xdr:nvSpPr>
        <xdr:cNvPr id="23" name="Rectangle 25">
          <a:extLst>
            <a:ext uri="{FF2B5EF4-FFF2-40B4-BE49-F238E27FC236}">
              <a16:creationId xmlns:a16="http://schemas.microsoft.com/office/drawing/2014/main" id="{2ECE6D6B-0DEA-45A5-A5AD-3AF3EC743300}"/>
            </a:ext>
          </a:extLst>
        </xdr:cNvPr>
        <xdr:cNvSpPr>
          <a:spLocks noChangeArrowheads="1"/>
        </xdr:cNvSpPr>
      </xdr:nvSpPr>
      <xdr:spPr bwMode="auto">
        <a:xfrm>
          <a:off x="4624388" y="1572577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97</xdr:row>
      <xdr:rowOff>28575</xdr:rowOff>
    </xdr:from>
    <xdr:to>
      <xdr:col>5</xdr:col>
      <xdr:colOff>804863</xdr:colOff>
      <xdr:row>97</xdr:row>
      <xdr:rowOff>142875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1961BCF5-F87B-40C0-B746-EC5102294200}"/>
            </a:ext>
          </a:extLst>
        </xdr:cNvPr>
        <xdr:cNvSpPr>
          <a:spLocks noChangeArrowheads="1"/>
        </xdr:cNvSpPr>
      </xdr:nvSpPr>
      <xdr:spPr bwMode="auto">
        <a:xfrm>
          <a:off x="3886200" y="1573530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295275</xdr:colOff>
      <xdr:row>97</xdr:row>
      <xdr:rowOff>19050</xdr:rowOff>
    </xdr:from>
    <xdr:to>
      <xdr:col>4</xdr:col>
      <xdr:colOff>457200</xdr:colOff>
      <xdr:row>97</xdr:row>
      <xdr:rowOff>133350</xdr:rowOff>
    </xdr:to>
    <xdr:sp macro="" textlink="">
      <xdr:nvSpPr>
        <xdr:cNvPr id="25" name="AutoShape 27">
          <a:extLst>
            <a:ext uri="{FF2B5EF4-FFF2-40B4-BE49-F238E27FC236}">
              <a16:creationId xmlns:a16="http://schemas.microsoft.com/office/drawing/2014/main" id="{F037D3DA-698D-45AB-A2B5-26C4E3428FD2}"/>
            </a:ext>
          </a:extLst>
        </xdr:cNvPr>
        <xdr:cNvSpPr>
          <a:spLocks noChangeArrowheads="1"/>
        </xdr:cNvSpPr>
      </xdr:nvSpPr>
      <xdr:spPr bwMode="auto">
        <a:xfrm>
          <a:off x="2886075" y="1572577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97</xdr:row>
      <xdr:rowOff>9525</xdr:rowOff>
    </xdr:from>
    <xdr:to>
      <xdr:col>3</xdr:col>
      <xdr:colOff>28575</xdr:colOff>
      <xdr:row>97</xdr:row>
      <xdr:rowOff>142875</xdr:rowOff>
    </xdr:to>
    <xdr:grpSp>
      <xdr:nvGrpSpPr>
        <xdr:cNvPr id="26" name="Group 30">
          <a:extLst>
            <a:ext uri="{FF2B5EF4-FFF2-40B4-BE49-F238E27FC236}">
              <a16:creationId xmlns:a16="http://schemas.microsoft.com/office/drawing/2014/main" id="{4F584CCC-7DEC-4581-9B38-B93E636D85BA}"/>
            </a:ext>
          </a:extLst>
        </xdr:cNvPr>
        <xdr:cNvGrpSpPr>
          <a:grpSpLocks/>
        </xdr:cNvGrpSpPr>
      </xdr:nvGrpSpPr>
      <xdr:grpSpPr bwMode="auto">
        <a:xfrm>
          <a:off x="2232933" y="20447454"/>
          <a:ext cx="142875" cy="133350"/>
          <a:chOff x="219" y="873"/>
          <a:chExt cx="18" cy="18"/>
        </a:xfrm>
      </xdr:grpSpPr>
      <xdr:sp macro="" textlink="">
        <xdr:nvSpPr>
          <xdr:cNvPr id="27" name="AutoShape 31">
            <a:extLst>
              <a:ext uri="{FF2B5EF4-FFF2-40B4-BE49-F238E27FC236}">
                <a16:creationId xmlns:a16="http://schemas.microsoft.com/office/drawing/2014/main" id="{F0EC01F6-A54E-29FA-D830-1C7F84785890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8" name="AutoShape 32">
            <a:extLst>
              <a:ext uri="{FF2B5EF4-FFF2-40B4-BE49-F238E27FC236}">
                <a16:creationId xmlns:a16="http://schemas.microsoft.com/office/drawing/2014/main" id="{F570BF69-954C-9E54-BA97-FE9DA00665F4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52388</xdr:colOff>
      <xdr:row>135</xdr:row>
      <xdr:rowOff>19050</xdr:rowOff>
    </xdr:from>
    <xdr:to>
      <xdr:col>0</xdr:col>
      <xdr:colOff>176213</xdr:colOff>
      <xdr:row>135</xdr:row>
      <xdr:rowOff>133350</xdr:rowOff>
    </xdr:to>
    <xdr:sp macro="" textlink="">
      <xdr:nvSpPr>
        <xdr:cNvPr id="29" name="AutoShape 37">
          <a:extLst>
            <a:ext uri="{FF2B5EF4-FFF2-40B4-BE49-F238E27FC236}">
              <a16:creationId xmlns:a16="http://schemas.microsoft.com/office/drawing/2014/main" id="{CC1AACDD-4C7D-4F8C-9063-E124E419E46C}"/>
            </a:ext>
          </a:extLst>
        </xdr:cNvPr>
        <xdr:cNvSpPr>
          <a:spLocks noChangeArrowheads="1"/>
        </xdr:cNvSpPr>
      </xdr:nvSpPr>
      <xdr:spPr bwMode="auto">
        <a:xfrm>
          <a:off x="52388" y="2187892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135</xdr:row>
      <xdr:rowOff>9525</xdr:rowOff>
    </xdr:from>
    <xdr:to>
      <xdr:col>1</xdr:col>
      <xdr:colOff>642938</xdr:colOff>
      <xdr:row>135</xdr:row>
      <xdr:rowOff>152400</xdr:rowOff>
    </xdr:to>
    <xdr:sp macro="" textlink="">
      <xdr:nvSpPr>
        <xdr:cNvPr id="30" name="AutoShape 38">
          <a:extLst>
            <a:ext uri="{FF2B5EF4-FFF2-40B4-BE49-F238E27FC236}">
              <a16:creationId xmlns:a16="http://schemas.microsoft.com/office/drawing/2014/main" id="{8720780D-D8FD-42C1-B185-8A6EA5656079}"/>
            </a:ext>
          </a:extLst>
        </xdr:cNvPr>
        <xdr:cNvSpPr>
          <a:spLocks noChangeArrowheads="1"/>
        </xdr:cNvSpPr>
      </xdr:nvSpPr>
      <xdr:spPr bwMode="auto">
        <a:xfrm>
          <a:off x="1128713" y="2186940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135</xdr:row>
      <xdr:rowOff>9525</xdr:rowOff>
    </xdr:from>
    <xdr:to>
      <xdr:col>3</xdr:col>
      <xdr:colOff>28575</xdr:colOff>
      <xdr:row>135</xdr:row>
      <xdr:rowOff>142875</xdr:rowOff>
    </xdr:to>
    <xdr:grpSp>
      <xdr:nvGrpSpPr>
        <xdr:cNvPr id="31" name="Group 39">
          <a:extLst>
            <a:ext uri="{FF2B5EF4-FFF2-40B4-BE49-F238E27FC236}">
              <a16:creationId xmlns:a16="http://schemas.microsoft.com/office/drawing/2014/main" id="{93750CD8-2D19-4F4E-8557-AEDE7248551C}"/>
            </a:ext>
          </a:extLst>
        </xdr:cNvPr>
        <xdr:cNvGrpSpPr>
          <a:grpSpLocks/>
        </xdr:cNvGrpSpPr>
      </xdr:nvGrpSpPr>
      <xdr:grpSpPr bwMode="auto">
        <a:xfrm>
          <a:off x="2232933" y="26665918"/>
          <a:ext cx="142875" cy="133350"/>
          <a:chOff x="219" y="873"/>
          <a:chExt cx="18" cy="18"/>
        </a:xfrm>
      </xdr:grpSpPr>
      <xdr:sp macro="" textlink="">
        <xdr:nvSpPr>
          <xdr:cNvPr id="32" name="AutoShape 40">
            <a:extLst>
              <a:ext uri="{FF2B5EF4-FFF2-40B4-BE49-F238E27FC236}">
                <a16:creationId xmlns:a16="http://schemas.microsoft.com/office/drawing/2014/main" id="{8FBF943F-FB37-B3A9-2A25-75EE5CC9E454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AutoShape 41">
            <a:extLst>
              <a:ext uri="{FF2B5EF4-FFF2-40B4-BE49-F238E27FC236}">
                <a16:creationId xmlns:a16="http://schemas.microsoft.com/office/drawing/2014/main" id="{D0FF6110-07E9-4444-5310-8BF78F313812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135</xdr:row>
      <xdr:rowOff>19050</xdr:rowOff>
    </xdr:from>
    <xdr:to>
      <xdr:col>6</xdr:col>
      <xdr:colOff>142875</xdr:colOff>
      <xdr:row>135</xdr:row>
      <xdr:rowOff>142875</xdr:rowOff>
    </xdr:to>
    <xdr:sp macro="" textlink="">
      <xdr:nvSpPr>
        <xdr:cNvPr id="34" name="AutoShape 42">
          <a:extLst>
            <a:ext uri="{FF2B5EF4-FFF2-40B4-BE49-F238E27FC236}">
              <a16:creationId xmlns:a16="http://schemas.microsoft.com/office/drawing/2014/main" id="{FBB044B7-8FBC-4746-9692-B48FAA73D72A}"/>
            </a:ext>
          </a:extLst>
        </xdr:cNvPr>
        <xdr:cNvSpPr>
          <a:spLocks noChangeArrowheads="1"/>
        </xdr:cNvSpPr>
      </xdr:nvSpPr>
      <xdr:spPr bwMode="auto">
        <a:xfrm>
          <a:off x="3895725" y="2187892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135</xdr:row>
      <xdr:rowOff>19050</xdr:rowOff>
    </xdr:from>
    <xdr:to>
      <xdr:col>7</xdr:col>
      <xdr:colOff>223838</xdr:colOff>
      <xdr:row>135</xdr:row>
      <xdr:rowOff>142875</xdr:rowOff>
    </xdr:to>
    <xdr:sp macro="" textlink="">
      <xdr:nvSpPr>
        <xdr:cNvPr id="35" name="Rectangle 43">
          <a:extLst>
            <a:ext uri="{FF2B5EF4-FFF2-40B4-BE49-F238E27FC236}">
              <a16:creationId xmlns:a16="http://schemas.microsoft.com/office/drawing/2014/main" id="{BAE2B565-15AF-4ED3-89A8-BA0B6CD937CC}"/>
            </a:ext>
          </a:extLst>
        </xdr:cNvPr>
        <xdr:cNvSpPr>
          <a:spLocks noChangeArrowheads="1"/>
        </xdr:cNvSpPr>
      </xdr:nvSpPr>
      <xdr:spPr bwMode="auto">
        <a:xfrm>
          <a:off x="4624388" y="2187892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135</xdr:row>
      <xdr:rowOff>28575</xdr:rowOff>
    </xdr:from>
    <xdr:to>
      <xdr:col>5</xdr:col>
      <xdr:colOff>804863</xdr:colOff>
      <xdr:row>135</xdr:row>
      <xdr:rowOff>142875</xdr:rowOff>
    </xdr:to>
    <xdr:sp macro="" textlink="">
      <xdr:nvSpPr>
        <xdr:cNvPr id="36" name="AutoShape 44">
          <a:extLst>
            <a:ext uri="{FF2B5EF4-FFF2-40B4-BE49-F238E27FC236}">
              <a16:creationId xmlns:a16="http://schemas.microsoft.com/office/drawing/2014/main" id="{1F075A79-7882-43B9-86A3-61202D0F5C0A}"/>
            </a:ext>
          </a:extLst>
        </xdr:cNvPr>
        <xdr:cNvSpPr>
          <a:spLocks noChangeArrowheads="1"/>
        </xdr:cNvSpPr>
      </xdr:nvSpPr>
      <xdr:spPr bwMode="auto">
        <a:xfrm>
          <a:off x="3886200" y="2188845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223838</xdr:colOff>
      <xdr:row>135</xdr:row>
      <xdr:rowOff>19050</xdr:rowOff>
    </xdr:from>
    <xdr:to>
      <xdr:col>4</xdr:col>
      <xdr:colOff>385763</xdr:colOff>
      <xdr:row>135</xdr:row>
      <xdr:rowOff>133350</xdr:rowOff>
    </xdr:to>
    <xdr:sp macro="" textlink="">
      <xdr:nvSpPr>
        <xdr:cNvPr id="37" name="AutoShape 45">
          <a:extLst>
            <a:ext uri="{FF2B5EF4-FFF2-40B4-BE49-F238E27FC236}">
              <a16:creationId xmlns:a16="http://schemas.microsoft.com/office/drawing/2014/main" id="{638E4EC3-C113-4E6A-A95B-A65F6CD6E631}"/>
            </a:ext>
          </a:extLst>
        </xdr:cNvPr>
        <xdr:cNvSpPr>
          <a:spLocks noChangeArrowheads="1"/>
        </xdr:cNvSpPr>
      </xdr:nvSpPr>
      <xdr:spPr bwMode="auto">
        <a:xfrm>
          <a:off x="2814638" y="2187892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52388</xdr:colOff>
      <xdr:row>173</xdr:row>
      <xdr:rowOff>19050</xdr:rowOff>
    </xdr:from>
    <xdr:to>
      <xdr:col>0</xdr:col>
      <xdr:colOff>176213</xdr:colOff>
      <xdr:row>173</xdr:row>
      <xdr:rowOff>133350</xdr:rowOff>
    </xdr:to>
    <xdr:sp macro="" textlink="">
      <xdr:nvSpPr>
        <xdr:cNvPr id="38" name="AutoShape 46">
          <a:extLst>
            <a:ext uri="{FF2B5EF4-FFF2-40B4-BE49-F238E27FC236}">
              <a16:creationId xmlns:a16="http://schemas.microsoft.com/office/drawing/2014/main" id="{FA5D372E-989C-463E-A305-4C2F1FF4035F}"/>
            </a:ext>
          </a:extLst>
        </xdr:cNvPr>
        <xdr:cNvSpPr>
          <a:spLocks noChangeArrowheads="1"/>
        </xdr:cNvSpPr>
      </xdr:nvSpPr>
      <xdr:spPr bwMode="auto">
        <a:xfrm>
          <a:off x="52388" y="2803207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173</xdr:row>
      <xdr:rowOff>9525</xdr:rowOff>
    </xdr:from>
    <xdr:to>
      <xdr:col>1</xdr:col>
      <xdr:colOff>642938</xdr:colOff>
      <xdr:row>173</xdr:row>
      <xdr:rowOff>152400</xdr:rowOff>
    </xdr:to>
    <xdr:sp macro="" textlink="">
      <xdr:nvSpPr>
        <xdr:cNvPr id="39" name="AutoShape 47">
          <a:extLst>
            <a:ext uri="{FF2B5EF4-FFF2-40B4-BE49-F238E27FC236}">
              <a16:creationId xmlns:a16="http://schemas.microsoft.com/office/drawing/2014/main" id="{C480FD5D-743B-4971-8A31-1A766E8A8C9C}"/>
            </a:ext>
          </a:extLst>
        </xdr:cNvPr>
        <xdr:cNvSpPr>
          <a:spLocks noChangeArrowheads="1"/>
        </xdr:cNvSpPr>
      </xdr:nvSpPr>
      <xdr:spPr bwMode="auto">
        <a:xfrm>
          <a:off x="1128713" y="2802255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173</xdr:row>
      <xdr:rowOff>9525</xdr:rowOff>
    </xdr:from>
    <xdr:to>
      <xdr:col>3</xdr:col>
      <xdr:colOff>28575</xdr:colOff>
      <xdr:row>173</xdr:row>
      <xdr:rowOff>142875</xdr:rowOff>
    </xdr:to>
    <xdr:grpSp>
      <xdr:nvGrpSpPr>
        <xdr:cNvPr id="40" name="Group 48">
          <a:extLst>
            <a:ext uri="{FF2B5EF4-FFF2-40B4-BE49-F238E27FC236}">
              <a16:creationId xmlns:a16="http://schemas.microsoft.com/office/drawing/2014/main" id="{99CB00AA-BA3D-4B51-AA3B-1D9114F428C8}"/>
            </a:ext>
          </a:extLst>
        </xdr:cNvPr>
        <xdr:cNvGrpSpPr>
          <a:grpSpLocks/>
        </xdr:cNvGrpSpPr>
      </xdr:nvGrpSpPr>
      <xdr:grpSpPr bwMode="auto">
        <a:xfrm>
          <a:off x="2232933" y="32884382"/>
          <a:ext cx="142875" cy="133350"/>
          <a:chOff x="219" y="873"/>
          <a:chExt cx="18" cy="18"/>
        </a:xfrm>
      </xdr:grpSpPr>
      <xdr:sp macro="" textlink="">
        <xdr:nvSpPr>
          <xdr:cNvPr id="41" name="AutoShape 49">
            <a:extLst>
              <a:ext uri="{FF2B5EF4-FFF2-40B4-BE49-F238E27FC236}">
                <a16:creationId xmlns:a16="http://schemas.microsoft.com/office/drawing/2014/main" id="{4E016FB8-FECD-6C3A-FD77-0D698B037943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2" name="AutoShape 50">
            <a:extLst>
              <a:ext uri="{FF2B5EF4-FFF2-40B4-BE49-F238E27FC236}">
                <a16:creationId xmlns:a16="http://schemas.microsoft.com/office/drawing/2014/main" id="{C1BC7838-45BE-7597-A5F7-9C12F22DB058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173</xdr:row>
      <xdr:rowOff>19050</xdr:rowOff>
    </xdr:from>
    <xdr:to>
      <xdr:col>6</xdr:col>
      <xdr:colOff>142875</xdr:colOff>
      <xdr:row>173</xdr:row>
      <xdr:rowOff>142875</xdr:rowOff>
    </xdr:to>
    <xdr:sp macro="" textlink="">
      <xdr:nvSpPr>
        <xdr:cNvPr id="43" name="AutoShape 51">
          <a:extLst>
            <a:ext uri="{FF2B5EF4-FFF2-40B4-BE49-F238E27FC236}">
              <a16:creationId xmlns:a16="http://schemas.microsoft.com/office/drawing/2014/main" id="{AE16E5B5-8175-41A9-8315-EBC92C36C0E5}"/>
            </a:ext>
          </a:extLst>
        </xdr:cNvPr>
        <xdr:cNvSpPr>
          <a:spLocks noChangeArrowheads="1"/>
        </xdr:cNvSpPr>
      </xdr:nvSpPr>
      <xdr:spPr bwMode="auto">
        <a:xfrm>
          <a:off x="3895725" y="2803207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173</xdr:row>
      <xdr:rowOff>19050</xdr:rowOff>
    </xdr:from>
    <xdr:to>
      <xdr:col>7</xdr:col>
      <xdr:colOff>223838</xdr:colOff>
      <xdr:row>173</xdr:row>
      <xdr:rowOff>142875</xdr:rowOff>
    </xdr:to>
    <xdr:sp macro="" textlink="">
      <xdr:nvSpPr>
        <xdr:cNvPr id="44" name="Rectangle 52">
          <a:extLst>
            <a:ext uri="{FF2B5EF4-FFF2-40B4-BE49-F238E27FC236}">
              <a16:creationId xmlns:a16="http://schemas.microsoft.com/office/drawing/2014/main" id="{8919AA06-FD99-4B27-A74E-5C29C683211E}"/>
            </a:ext>
          </a:extLst>
        </xdr:cNvPr>
        <xdr:cNvSpPr>
          <a:spLocks noChangeArrowheads="1"/>
        </xdr:cNvSpPr>
      </xdr:nvSpPr>
      <xdr:spPr bwMode="auto">
        <a:xfrm>
          <a:off x="4624388" y="2803207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173</xdr:row>
      <xdr:rowOff>28575</xdr:rowOff>
    </xdr:from>
    <xdr:to>
      <xdr:col>5</xdr:col>
      <xdr:colOff>804863</xdr:colOff>
      <xdr:row>173</xdr:row>
      <xdr:rowOff>142875</xdr:rowOff>
    </xdr:to>
    <xdr:sp macro="" textlink="">
      <xdr:nvSpPr>
        <xdr:cNvPr id="45" name="AutoShape 53">
          <a:extLst>
            <a:ext uri="{FF2B5EF4-FFF2-40B4-BE49-F238E27FC236}">
              <a16:creationId xmlns:a16="http://schemas.microsoft.com/office/drawing/2014/main" id="{6ED19AC7-7ED6-42BF-B3F2-708299EAB2ED}"/>
            </a:ext>
          </a:extLst>
        </xdr:cNvPr>
        <xdr:cNvSpPr>
          <a:spLocks noChangeArrowheads="1"/>
        </xdr:cNvSpPr>
      </xdr:nvSpPr>
      <xdr:spPr bwMode="auto">
        <a:xfrm>
          <a:off x="3886200" y="2804160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223838</xdr:colOff>
      <xdr:row>173</xdr:row>
      <xdr:rowOff>19050</xdr:rowOff>
    </xdr:from>
    <xdr:to>
      <xdr:col>4</xdr:col>
      <xdr:colOff>385763</xdr:colOff>
      <xdr:row>173</xdr:row>
      <xdr:rowOff>133350</xdr:rowOff>
    </xdr:to>
    <xdr:sp macro="" textlink="">
      <xdr:nvSpPr>
        <xdr:cNvPr id="46" name="AutoShape 54">
          <a:extLst>
            <a:ext uri="{FF2B5EF4-FFF2-40B4-BE49-F238E27FC236}">
              <a16:creationId xmlns:a16="http://schemas.microsoft.com/office/drawing/2014/main" id="{C0527A82-E1D7-4CB6-A336-933B3D36E5E6}"/>
            </a:ext>
          </a:extLst>
        </xdr:cNvPr>
        <xdr:cNvSpPr>
          <a:spLocks noChangeArrowheads="1"/>
        </xdr:cNvSpPr>
      </xdr:nvSpPr>
      <xdr:spPr bwMode="auto">
        <a:xfrm>
          <a:off x="2814638" y="2803207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323850</xdr:colOff>
      <xdr:row>62</xdr:row>
      <xdr:rowOff>114300</xdr:rowOff>
    </xdr:from>
    <xdr:to>
      <xdr:col>5</xdr:col>
      <xdr:colOff>795338</xdr:colOff>
      <xdr:row>65</xdr:row>
      <xdr:rowOff>66675</xdr:rowOff>
    </xdr:to>
    <xdr:grpSp>
      <xdr:nvGrpSpPr>
        <xdr:cNvPr id="47" name="Group 58">
          <a:extLst>
            <a:ext uri="{FF2B5EF4-FFF2-40B4-BE49-F238E27FC236}">
              <a16:creationId xmlns:a16="http://schemas.microsoft.com/office/drawing/2014/main" id="{E8F0BE0A-63E5-4D1A-B7AE-0BC6E6889CCF}"/>
            </a:ext>
          </a:extLst>
        </xdr:cNvPr>
        <xdr:cNvGrpSpPr>
          <a:grpSpLocks/>
        </xdr:cNvGrpSpPr>
      </xdr:nvGrpSpPr>
      <xdr:grpSpPr bwMode="auto">
        <a:xfrm>
          <a:off x="4195083" y="14830426"/>
          <a:ext cx="471488" cy="442232"/>
          <a:chOff x="424" y="894"/>
          <a:chExt cx="46" cy="46"/>
        </a:xfrm>
      </xdr:grpSpPr>
      <xdr:sp macro="" textlink="">
        <xdr:nvSpPr>
          <xdr:cNvPr id="48" name="AutoShape 56">
            <a:extLst>
              <a:ext uri="{FF2B5EF4-FFF2-40B4-BE49-F238E27FC236}">
                <a16:creationId xmlns:a16="http://schemas.microsoft.com/office/drawing/2014/main" id="{021A4ECF-DAE4-6F4C-0ED5-45E52F531B31}"/>
              </a:ext>
            </a:extLst>
          </xdr:cNvPr>
          <xdr:cNvSpPr>
            <a:spLocks noChangeArrowheads="1"/>
          </xdr:cNvSpPr>
        </xdr:nvSpPr>
        <xdr:spPr bwMode="auto">
          <a:xfrm>
            <a:off x="425" y="894"/>
            <a:ext cx="45" cy="4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010</a:t>
            </a:r>
          </a:p>
        </xdr:txBody>
      </xdr:sp>
      <xdr:sp macro="" textlink="">
        <xdr:nvSpPr>
          <xdr:cNvPr id="49" name="AutoShape 57">
            <a:extLst>
              <a:ext uri="{FF2B5EF4-FFF2-40B4-BE49-F238E27FC236}">
                <a16:creationId xmlns:a16="http://schemas.microsoft.com/office/drawing/2014/main" id="{81FB57C1-7A48-6F4D-8651-CE7650AA6B86}"/>
              </a:ext>
            </a:extLst>
          </xdr:cNvPr>
          <xdr:cNvSpPr>
            <a:spLocks noChangeArrowheads="1"/>
          </xdr:cNvSpPr>
        </xdr:nvSpPr>
        <xdr:spPr bwMode="auto">
          <a:xfrm>
            <a:off x="424" y="894"/>
            <a:ext cx="46" cy="46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428625</xdr:colOff>
      <xdr:row>72</xdr:row>
      <xdr:rowOff>104775</xdr:rowOff>
    </xdr:from>
    <xdr:to>
      <xdr:col>5</xdr:col>
      <xdr:colOff>866775</xdr:colOff>
      <xdr:row>75</xdr:row>
      <xdr:rowOff>28575</xdr:rowOff>
    </xdr:to>
    <xdr:sp macro="" textlink="">
      <xdr:nvSpPr>
        <xdr:cNvPr id="50" name="Rectangle 59">
          <a:extLst>
            <a:ext uri="{FF2B5EF4-FFF2-40B4-BE49-F238E27FC236}">
              <a16:creationId xmlns:a16="http://schemas.microsoft.com/office/drawing/2014/main" id="{A8D7B5D3-BC86-405F-8E82-3F561779076E}"/>
            </a:ext>
          </a:extLst>
        </xdr:cNvPr>
        <xdr:cNvSpPr>
          <a:spLocks noChangeArrowheads="1"/>
        </xdr:cNvSpPr>
      </xdr:nvSpPr>
      <xdr:spPr bwMode="auto">
        <a:xfrm>
          <a:off x="3667125" y="11763375"/>
          <a:ext cx="21907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385763</xdr:colOff>
      <xdr:row>66</xdr:row>
      <xdr:rowOff>133350</xdr:rowOff>
    </xdr:from>
    <xdr:to>
      <xdr:col>5</xdr:col>
      <xdr:colOff>838201</xdr:colOff>
      <xdr:row>68</xdr:row>
      <xdr:rowOff>123825</xdr:rowOff>
    </xdr:to>
    <xdr:sp macro="" textlink="">
      <xdr:nvSpPr>
        <xdr:cNvPr id="51" name="AutoShape 60">
          <a:extLst>
            <a:ext uri="{FF2B5EF4-FFF2-40B4-BE49-F238E27FC236}">
              <a16:creationId xmlns:a16="http://schemas.microsoft.com/office/drawing/2014/main" id="{90A29B9B-7492-4855-A13B-8F5499CD5242}"/>
            </a:ext>
          </a:extLst>
        </xdr:cNvPr>
        <xdr:cNvSpPr>
          <a:spLocks noChangeArrowheads="1"/>
        </xdr:cNvSpPr>
      </xdr:nvSpPr>
      <xdr:spPr bwMode="auto">
        <a:xfrm>
          <a:off x="3624263" y="10820400"/>
          <a:ext cx="261938" cy="314325"/>
        </a:xfrm>
        <a:prstGeom prst="homePlate">
          <a:avLst>
            <a:gd name="adj" fmla="val 3333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376238</xdr:colOff>
      <xdr:row>69</xdr:row>
      <xdr:rowOff>133350</xdr:rowOff>
    </xdr:from>
    <xdr:to>
      <xdr:col>5</xdr:col>
      <xdr:colOff>838201</xdr:colOff>
      <xdr:row>72</xdr:row>
      <xdr:rowOff>9525</xdr:rowOff>
    </xdr:to>
    <xdr:sp macro="" textlink="">
      <xdr:nvSpPr>
        <xdr:cNvPr id="52" name="AutoShape 61">
          <a:extLst>
            <a:ext uri="{FF2B5EF4-FFF2-40B4-BE49-F238E27FC236}">
              <a16:creationId xmlns:a16="http://schemas.microsoft.com/office/drawing/2014/main" id="{E7B2C989-48E2-4A5D-A012-15FE2B3497D2}"/>
            </a:ext>
          </a:extLst>
        </xdr:cNvPr>
        <xdr:cNvSpPr>
          <a:spLocks noChangeArrowheads="1"/>
        </xdr:cNvSpPr>
      </xdr:nvSpPr>
      <xdr:spPr bwMode="auto">
        <a:xfrm>
          <a:off x="3614738" y="11306175"/>
          <a:ext cx="271463" cy="361950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428625</xdr:colOff>
      <xdr:row>75</xdr:row>
      <xdr:rowOff>123825</xdr:rowOff>
    </xdr:from>
    <xdr:to>
      <xdr:col>5</xdr:col>
      <xdr:colOff>876300</xdr:colOff>
      <xdr:row>78</xdr:row>
      <xdr:rowOff>57150</xdr:rowOff>
    </xdr:to>
    <xdr:sp macro="" textlink="">
      <xdr:nvSpPr>
        <xdr:cNvPr id="53" name="AutoShape 62">
          <a:extLst>
            <a:ext uri="{FF2B5EF4-FFF2-40B4-BE49-F238E27FC236}">
              <a16:creationId xmlns:a16="http://schemas.microsoft.com/office/drawing/2014/main" id="{5DED0A51-B5BE-4C26-8AFF-CA39C467AEB1}"/>
            </a:ext>
          </a:extLst>
        </xdr:cNvPr>
        <xdr:cNvSpPr>
          <a:spLocks noChangeArrowheads="1"/>
        </xdr:cNvSpPr>
      </xdr:nvSpPr>
      <xdr:spPr bwMode="auto">
        <a:xfrm>
          <a:off x="3667125" y="12268200"/>
          <a:ext cx="219075" cy="4191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400050</xdr:colOff>
      <xdr:row>79</xdr:row>
      <xdr:rowOff>9525</xdr:rowOff>
    </xdr:from>
    <xdr:to>
      <xdr:col>5</xdr:col>
      <xdr:colOff>947738</xdr:colOff>
      <xdr:row>82</xdr:row>
      <xdr:rowOff>9525</xdr:rowOff>
    </xdr:to>
    <xdr:sp macro="" textlink="">
      <xdr:nvSpPr>
        <xdr:cNvPr id="54" name="AutoShape 63">
          <a:extLst>
            <a:ext uri="{FF2B5EF4-FFF2-40B4-BE49-F238E27FC236}">
              <a16:creationId xmlns:a16="http://schemas.microsoft.com/office/drawing/2014/main" id="{CE5A8FEA-D3E6-41F2-A298-148D7C61BF22}"/>
            </a:ext>
          </a:extLst>
        </xdr:cNvPr>
        <xdr:cNvSpPr>
          <a:spLocks noChangeArrowheads="1"/>
        </xdr:cNvSpPr>
      </xdr:nvSpPr>
      <xdr:spPr bwMode="auto">
        <a:xfrm>
          <a:off x="3638550" y="12801600"/>
          <a:ext cx="247650" cy="4857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5</xdr:col>
      <xdr:colOff>447675</xdr:colOff>
      <xdr:row>82</xdr:row>
      <xdr:rowOff>133350</xdr:rowOff>
    </xdr:from>
    <xdr:to>
      <xdr:col>5</xdr:col>
      <xdr:colOff>895350</xdr:colOff>
      <xdr:row>85</xdr:row>
      <xdr:rowOff>66675</xdr:rowOff>
    </xdr:to>
    <xdr:sp macro="" textlink="">
      <xdr:nvSpPr>
        <xdr:cNvPr id="55" name="AutoShape 64">
          <a:extLst>
            <a:ext uri="{FF2B5EF4-FFF2-40B4-BE49-F238E27FC236}">
              <a16:creationId xmlns:a16="http://schemas.microsoft.com/office/drawing/2014/main" id="{909E905C-750A-482A-B64B-8109083F6BF7}"/>
            </a:ext>
          </a:extLst>
        </xdr:cNvPr>
        <xdr:cNvSpPr>
          <a:spLocks noChangeArrowheads="1"/>
        </xdr:cNvSpPr>
      </xdr:nvSpPr>
      <xdr:spPr bwMode="auto">
        <a:xfrm>
          <a:off x="3686175" y="13411200"/>
          <a:ext cx="200025" cy="4191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010</a:t>
          </a:r>
        </a:p>
      </xdr:txBody>
    </xdr:sp>
    <xdr:clientData/>
  </xdr:twoCellAnchor>
  <xdr:twoCellAnchor>
    <xdr:from>
      <xdr:col>6</xdr:col>
      <xdr:colOff>19050</xdr:colOff>
      <xdr:row>64</xdr:row>
      <xdr:rowOff>142875</xdr:rowOff>
    </xdr:from>
    <xdr:to>
      <xdr:col>7</xdr:col>
      <xdr:colOff>295235</xdr:colOff>
      <xdr:row>70</xdr:row>
      <xdr:rowOff>123825</xdr:rowOff>
    </xdr:to>
    <xdr:sp macro="" textlink="">
      <xdr:nvSpPr>
        <xdr:cNvPr id="56" name="Text Box 65">
          <a:extLst>
            <a:ext uri="{FF2B5EF4-FFF2-40B4-BE49-F238E27FC236}">
              <a16:creationId xmlns:a16="http://schemas.microsoft.com/office/drawing/2014/main" id="{9343196B-2B72-49B5-A706-116BC0F185C4}"/>
            </a:ext>
          </a:extLst>
        </xdr:cNvPr>
        <xdr:cNvSpPr txBox="1">
          <a:spLocks noChangeArrowheads="1"/>
        </xdr:cNvSpPr>
      </xdr:nvSpPr>
      <xdr:spPr bwMode="auto">
        <a:xfrm>
          <a:off x="3905250" y="10506075"/>
          <a:ext cx="923885" cy="95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Use Drawing Toolbar to Draw Connectors</a:t>
          </a:r>
        </a:p>
      </xdr:txBody>
    </xdr:sp>
    <xdr:clientData/>
  </xdr:twoCellAnchor>
  <xdr:twoCellAnchor>
    <xdr:from>
      <xdr:col>5</xdr:col>
      <xdr:colOff>561975</xdr:colOff>
      <xdr:row>65</xdr:row>
      <xdr:rowOff>66675</xdr:rowOff>
    </xdr:from>
    <xdr:to>
      <xdr:col>5</xdr:col>
      <xdr:colOff>561975</xdr:colOff>
      <xdr:row>66</xdr:row>
      <xdr:rowOff>133350</xdr:rowOff>
    </xdr:to>
    <xdr:cxnSp macro="">
      <xdr:nvCxnSpPr>
        <xdr:cNvPr id="57" name="AutoShape 66">
          <a:extLst>
            <a:ext uri="{FF2B5EF4-FFF2-40B4-BE49-F238E27FC236}">
              <a16:creationId xmlns:a16="http://schemas.microsoft.com/office/drawing/2014/main" id="{0A66F0D9-D596-470C-A1DE-28C05E4A9FD0}"/>
            </a:ext>
          </a:extLst>
        </xdr:cNvPr>
        <xdr:cNvCxnSpPr>
          <a:cxnSpLocks noChangeShapeType="1"/>
          <a:stCxn id="49" idx="4"/>
          <a:endCxn id="51" idx="0"/>
        </xdr:cNvCxnSpPr>
      </xdr:nvCxnSpPr>
      <xdr:spPr bwMode="auto">
        <a:xfrm>
          <a:off x="3800475" y="10591800"/>
          <a:ext cx="0" cy="2286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61913</xdr:colOff>
      <xdr:row>63</xdr:row>
      <xdr:rowOff>9525</xdr:rowOff>
    </xdr:from>
    <xdr:to>
      <xdr:col>4</xdr:col>
      <xdr:colOff>1062038</xdr:colOff>
      <xdr:row>64</xdr:row>
      <xdr:rowOff>66675</xdr:rowOff>
    </xdr:to>
    <xdr:sp macro="" textlink="">
      <xdr:nvSpPr>
        <xdr:cNvPr id="58" name="Text Box 67">
          <a:extLst>
            <a:ext uri="{FF2B5EF4-FFF2-40B4-BE49-F238E27FC236}">
              <a16:creationId xmlns:a16="http://schemas.microsoft.com/office/drawing/2014/main" id="{B57686B4-40D3-4C3C-8941-9A014DC07C69}"/>
            </a:ext>
          </a:extLst>
        </xdr:cNvPr>
        <xdr:cNvSpPr txBox="1">
          <a:spLocks noChangeArrowheads="1"/>
        </xdr:cNvSpPr>
      </xdr:nvSpPr>
      <xdr:spPr bwMode="auto">
        <a:xfrm>
          <a:off x="2652713" y="10210800"/>
          <a:ext cx="585787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REC &amp; INSP</a:t>
          </a:r>
        </a:p>
      </xdr:txBody>
    </xdr:sp>
    <xdr:clientData/>
  </xdr:twoCellAnchor>
  <xdr:twoCellAnchor>
    <xdr:from>
      <xdr:col>4</xdr:col>
      <xdr:colOff>61913</xdr:colOff>
      <xdr:row>67</xdr:row>
      <xdr:rowOff>47625</xdr:rowOff>
    </xdr:from>
    <xdr:to>
      <xdr:col>4</xdr:col>
      <xdr:colOff>1062038</xdr:colOff>
      <xdr:row>68</xdr:row>
      <xdr:rowOff>104775</xdr:rowOff>
    </xdr:to>
    <xdr:sp macro="" textlink="">
      <xdr:nvSpPr>
        <xdr:cNvPr id="59" name="Text Box 68">
          <a:extLst>
            <a:ext uri="{FF2B5EF4-FFF2-40B4-BE49-F238E27FC236}">
              <a16:creationId xmlns:a16="http://schemas.microsoft.com/office/drawing/2014/main" id="{5B7C50CD-8E37-43DA-A405-D16C337E39BB}"/>
            </a:ext>
          </a:extLst>
        </xdr:cNvPr>
        <xdr:cNvSpPr txBox="1">
          <a:spLocks noChangeArrowheads="1"/>
        </xdr:cNvSpPr>
      </xdr:nvSpPr>
      <xdr:spPr bwMode="auto">
        <a:xfrm>
          <a:off x="2652713" y="10896600"/>
          <a:ext cx="585787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TRANSPORT</a:t>
          </a:r>
        </a:p>
      </xdr:txBody>
    </xdr:sp>
    <xdr:clientData/>
  </xdr:twoCellAnchor>
  <xdr:twoCellAnchor>
    <xdr:from>
      <xdr:col>4</xdr:col>
      <xdr:colOff>38100</xdr:colOff>
      <xdr:row>70</xdr:row>
      <xdr:rowOff>104775</xdr:rowOff>
    </xdr:from>
    <xdr:to>
      <xdr:col>4</xdr:col>
      <xdr:colOff>1038225</xdr:colOff>
      <xdr:row>72</xdr:row>
      <xdr:rowOff>0</xdr:rowOff>
    </xdr:to>
    <xdr:sp macro="" textlink="">
      <xdr:nvSpPr>
        <xdr:cNvPr id="60" name="Text Box 69">
          <a:extLst>
            <a:ext uri="{FF2B5EF4-FFF2-40B4-BE49-F238E27FC236}">
              <a16:creationId xmlns:a16="http://schemas.microsoft.com/office/drawing/2014/main" id="{D5D6CFE8-202F-4C98-81A6-555A349ACAF4}"/>
            </a:ext>
          </a:extLst>
        </xdr:cNvPr>
        <xdr:cNvSpPr txBox="1">
          <a:spLocks noChangeArrowheads="1"/>
        </xdr:cNvSpPr>
      </xdr:nvSpPr>
      <xdr:spPr bwMode="auto">
        <a:xfrm>
          <a:off x="2628900" y="11439525"/>
          <a:ext cx="6096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STORAGE</a:t>
          </a:r>
        </a:p>
      </xdr:txBody>
    </xdr:sp>
    <xdr:clientData/>
  </xdr:twoCellAnchor>
  <xdr:twoCellAnchor>
    <xdr:from>
      <xdr:col>4</xdr:col>
      <xdr:colOff>38100</xdr:colOff>
      <xdr:row>73</xdr:row>
      <xdr:rowOff>47625</xdr:rowOff>
    </xdr:from>
    <xdr:to>
      <xdr:col>4</xdr:col>
      <xdr:colOff>1038225</xdr:colOff>
      <xdr:row>74</xdr:row>
      <xdr:rowOff>104775</xdr:rowOff>
    </xdr:to>
    <xdr:sp macro="" textlink="">
      <xdr:nvSpPr>
        <xdr:cNvPr id="61" name="Text Box 70">
          <a:extLst>
            <a:ext uri="{FF2B5EF4-FFF2-40B4-BE49-F238E27FC236}">
              <a16:creationId xmlns:a16="http://schemas.microsoft.com/office/drawing/2014/main" id="{A4D91D27-720B-4086-A5FE-212F68CA4126}"/>
            </a:ext>
          </a:extLst>
        </xdr:cNvPr>
        <xdr:cNvSpPr txBox="1">
          <a:spLocks noChangeArrowheads="1"/>
        </xdr:cNvSpPr>
      </xdr:nvSpPr>
      <xdr:spPr bwMode="auto">
        <a:xfrm>
          <a:off x="2628900" y="11868150"/>
          <a:ext cx="6096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OTHER</a:t>
          </a:r>
        </a:p>
      </xdr:txBody>
    </xdr:sp>
    <xdr:clientData/>
  </xdr:twoCellAnchor>
  <xdr:twoCellAnchor>
    <xdr:from>
      <xdr:col>4</xdr:col>
      <xdr:colOff>52388</xdr:colOff>
      <xdr:row>76</xdr:row>
      <xdr:rowOff>66675</xdr:rowOff>
    </xdr:from>
    <xdr:to>
      <xdr:col>4</xdr:col>
      <xdr:colOff>1052513</xdr:colOff>
      <xdr:row>77</xdr:row>
      <xdr:rowOff>123825</xdr:rowOff>
    </xdr:to>
    <xdr:sp macro="" textlink="">
      <xdr:nvSpPr>
        <xdr:cNvPr id="62" name="Text Box 71">
          <a:extLst>
            <a:ext uri="{FF2B5EF4-FFF2-40B4-BE49-F238E27FC236}">
              <a16:creationId xmlns:a16="http://schemas.microsoft.com/office/drawing/2014/main" id="{B6B9FBF6-80F6-446B-9DCF-2751A2FA81A0}"/>
            </a:ext>
          </a:extLst>
        </xdr:cNvPr>
        <xdr:cNvSpPr txBox="1">
          <a:spLocks noChangeArrowheads="1"/>
        </xdr:cNvSpPr>
      </xdr:nvSpPr>
      <xdr:spPr bwMode="auto">
        <a:xfrm>
          <a:off x="2643188" y="12372975"/>
          <a:ext cx="595312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OPERATION</a:t>
          </a:r>
        </a:p>
      </xdr:txBody>
    </xdr:sp>
    <xdr:clientData/>
  </xdr:twoCellAnchor>
  <xdr:twoCellAnchor>
    <xdr:from>
      <xdr:col>4</xdr:col>
      <xdr:colOff>38100</xdr:colOff>
      <xdr:row>80</xdr:row>
      <xdr:rowOff>0</xdr:rowOff>
    </xdr:from>
    <xdr:to>
      <xdr:col>4</xdr:col>
      <xdr:colOff>1038225</xdr:colOff>
      <xdr:row>81</xdr:row>
      <xdr:rowOff>57150</xdr:rowOff>
    </xdr:to>
    <xdr:sp macro="" textlink="">
      <xdr:nvSpPr>
        <xdr:cNvPr id="63" name="Text Box 72">
          <a:extLst>
            <a:ext uri="{FF2B5EF4-FFF2-40B4-BE49-F238E27FC236}">
              <a16:creationId xmlns:a16="http://schemas.microsoft.com/office/drawing/2014/main" id="{3A39459E-7504-4AD2-A08C-A1E383148C9C}"/>
            </a:ext>
          </a:extLst>
        </xdr:cNvPr>
        <xdr:cNvSpPr txBox="1">
          <a:spLocks noChangeArrowheads="1"/>
        </xdr:cNvSpPr>
      </xdr:nvSpPr>
      <xdr:spPr bwMode="auto">
        <a:xfrm>
          <a:off x="2628900" y="12954000"/>
          <a:ext cx="6096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INSPECTION</a:t>
          </a:r>
        </a:p>
      </xdr:txBody>
    </xdr:sp>
    <xdr:clientData/>
  </xdr:twoCellAnchor>
  <xdr:twoCellAnchor>
    <xdr:from>
      <xdr:col>4</xdr:col>
      <xdr:colOff>9525</xdr:colOff>
      <xdr:row>83</xdr:row>
      <xdr:rowOff>38100</xdr:rowOff>
    </xdr:from>
    <xdr:to>
      <xdr:col>4</xdr:col>
      <xdr:colOff>1009650</xdr:colOff>
      <xdr:row>84</xdr:row>
      <xdr:rowOff>95250</xdr:rowOff>
    </xdr:to>
    <xdr:sp macro="" textlink="">
      <xdr:nvSpPr>
        <xdr:cNvPr id="64" name="Text Box 73">
          <a:extLst>
            <a:ext uri="{FF2B5EF4-FFF2-40B4-BE49-F238E27FC236}">
              <a16:creationId xmlns:a16="http://schemas.microsoft.com/office/drawing/2014/main" id="{495D23DC-3E85-4374-86CF-2CC4B0E69003}"/>
            </a:ext>
          </a:extLst>
        </xdr:cNvPr>
        <xdr:cNvSpPr txBox="1">
          <a:spLocks noChangeArrowheads="1"/>
        </xdr:cNvSpPr>
      </xdr:nvSpPr>
      <xdr:spPr bwMode="auto">
        <a:xfrm>
          <a:off x="2600325" y="13477875"/>
          <a:ext cx="6381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DELAY</a:t>
          </a:r>
        </a:p>
      </xdr:txBody>
    </xdr:sp>
    <xdr:clientData/>
  </xdr:twoCellAnchor>
  <xdr:twoCellAnchor>
    <xdr:from>
      <xdr:col>0</xdr:col>
      <xdr:colOff>52388</xdr:colOff>
      <xdr:row>59</xdr:row>
      <xdr:rowOff>19050</xdr:rowOff>
    </xdr:from>
    <xdr:to>
      <xdr:col>0</xdr:col>
      <xdr:colOff>176213</xdr:colOff>
      <xdr:row>59</xdr:row>
      <xdr:rowOff>133350</xdr:rowOff>
    </xdr:to>
    <xdr:sp macro="" textlink="">
      <xdr:nvSpPr>
        <xdr:cNvPr id="65" name="AutoShape 74">
          <a:extLst>
            <a:ext uri="{FF2B5EF4-FFF2-40B4-BE49-F238E27FC236}">
              <a16:creationId xmlns:a16="http://schemas.microsoft.com/office/drawing/2014/main" id="{573046F1-34F1-4408-8AE9-AE3FAEB09E1A}"/>
            </a:ext>
          </a:extLst>
        </xdr:cNvPr>
        <xdr:cNvSpPr>
          <a:spLocks noChangeArrowheads="1"/>
        </xdr:cNvSpPr>
      </xdr:nvSpPr>
      <xdr:spPr bwMode="auto">
        <a:xfrm>
          <a:off x="52388" y="9572625"/>
          <a:ext cx="123825" cy="11430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481013</xdr:colOff>
      <xdr:row>59</xdr:row>
      <xdr:rowOff>9525</xdr:rowOff>
    </xdr:from>
    <xdr:to>
      <xdr:col>1</xdr:col>
      <xdr:colOff>642938</xdr:colOff>
      <xdr:row>59</xdr:row>
      <xdr:rowOff>152400</xdr:rowOff>
    </xdr:to>
    <xdr:sp macro="" textlink="">
      <xdr:nvSpPr>
        <xdr:cNvPr id="66" name="AutoShape 75">
          <a:extLst>
            <a:ext uri="{FF2B5EF4-FFF2-40B4-BE49-F238E27FC236}">
              <a16:creationId xmlns:a16="http://schemas.microsoft.com/office/drawing/2014/main" id="{6CA0964B-CC81-4539-900E-C49C65358A38}"/>
            </a:ext>
          </a:extLst>
        </xdr:cNvPr>
        <xdr:cNvSpPr>
          <a:spLocks noChangeArrowheads="1"/>
        </xdr:cNvSpPr>
      </xdr:nvSpPr>
      <xdr:spPr bwMode="auto">
        <a:xfrm>
          <a:off x="1128713" y="9563100"/>
          <a:ext cx="161925" cy="14287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59</xdr:row>
      <xdr:rowOff>9525</xdr:rowOff>
    </xdr:from>
    <xdr:to>
      <xdr:col>3</xdr:col>
      <xdr:colOff>28575</xdr:colOff>
      <xdr:row>59</xdr:row>
      <xdr:rowOff>142875</xdr:rowOff>
    </xdr:to>
    <xdr:grpSp>
      <xdr:nvGrpSpPr>
        <xdr:cNvPr id="67" name="Group 76">
          <a:extLst>
            <a:ext uri="{FF2B5EF4-FFF2-40B4-BE49-F238E27FC236}">
              <a16:creationId xmlns:a16="http://schemas.microsoft.com/office/drawing/2014/main" id="{C5AD7877-76D6-4631-BDDA-309A5CFF4D62}"/>
            </a:ext>
          </a:extLst>
        </xdr:cNvPr>
        <xdr:cNvGrpSpPr>
          <a:grpSpLocks/>
        </xdr:cNvGrpSpPr>
      </xdr:nvGrpSpPr>
      <xdr:grpSpPr bwMode="auto">
        <a:xfrm>
          <a:off x="2232933" y="14228989"/>
          <a:ext cx="142875" cy="133350"/>
          <a:chOff x="219" y="873"/>
          <a:chExt cx="18" cy="18"/>
        </a:xfrm>
      </xdr:grpSpPr>
      <xdr:sp macro="" textlink="">
        <xdr:nvSpPr>
          <xdr:cNvPr id="68" name="AutoShape 77">
            <a:extLst>
              <a:ext uri="{FF2B5EF4-FFF2-40B4-BE49-F238E27FC236}">
                <a16:creationId xmlns:a16="http://schemas.microsoft.com/office/drawing/2014/main" id="{18B8564D-1C0D-974A-9590-DFE37E0606B2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9" name="AutoShape 78">
            <a:extLst>
              <a:ext uri="{FF2B5EF4-FFF2-40B4-BE49-F238E27FC236}">
                <a16:creationId xmlns:a16="http://schemas.microsoft.com/office/drawing/2014/main" id="{0123226F-29E6-6379-C9DF-E6FF15EAB5CB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59</xdr:row>
      <xdr:rowOff>19050</xdr:rowOff>
    </xdr:from>
    <xdr:to>
      <xdr:col>6</xdr:col>
      <xdr:colOff>142875</xdr:colOff>
      <xdr:row>59</xdr:row>
      <xdr:rowOff>142875</xdr:rowOff>
    </xdr:to>
    <xdr:sp macro="" textlink="">
      <xdr:nvSpPr>
        <xdr:cNvPr id="70" name="AutoShape 79">
          <a:extLst>
            <a:ext uri="{FF2B5EF4-FFF2-40B4-BE49-F238E27FC236}">
              <a16:creationId xmlns:a16="http://schemas.microsoft.com/office/drawing/2014/main" id="{034C7041-7B23-4C3E-BCE0-5984ACF22252}"/>
            </a:ext>
          </a:extLst>
        </xdr:cNvPr>
        <xdr:cNvSpPr>
          <a:spLocks noChangeArrowheads="1"/>
        </xdr:cNvSpPr>
      </xdr:nvSpPr>
      <xdr:spPr bwMode="auto">
        <a:xfrm>
          <a:off x="3895725" y="9572625"/>
          <a:ext cx="133350" cy="123825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90488</xdr:colOff>
      <xdr:row>59</xdr:row>
      <xdr:rowOff>19050</xdr:rowOff>
    </xdr:from>
    <xdr:to>
      <xdr:col>7</xdr:col>
      <xdr:colOff>223838</xdr:colOff>
      <xdr:row>59</xdr:row>
      <xdr:rowOff>142875</xdr:rowOff>
    </xdr:to>
    <xdr:sp macro="" textlink="">
      <xdr:nvSpPr>
        <xdr:cNvPr id="71" name="Rectangle 80">
          <a:extLst>
            <a:ext uri="{FF2B5EF4-FFF2-40B4-BE49-F238E27FC236}">
              <a16:creationId xmlns:a16="http://schemas.microsoft.com/office/drawing/2014/main" id="{A23E30EE-0F91-40A1-939B-E8429A0CBC7B}"/>
            </a:ext>
          </a:extLst>
        </xdr:cNvPr>
        <xdr:cNvSpPr>
          <a:spLocks noChangeArrowheads="1"/>
        </xdr:cNvSpPr>
      </xdr:nvSpPr>
      <xdr:spPr bwMode="auto">
        <a:xfrm>
          <a:off x="4624388" y="9572625"/>
          <a:ext cx="1333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681038</xdr:colOff>
      <xdr:row>59</xdr:row>
      <xdr:rowOff>28575</xdr:rowOff>
    </xdr:from>
    <xdr:to>
      <xdr:col>5</xdr:col>
      <xdr:colOff>804863</xdr:colOff>
      <xdr:row>59</xdr:row>
      <xdr:rowOff>142875</xdr:rowOff>
    </xdr:to>
    <xdr:sp macro="" textlink="">
      <xdr:nvSpPr>
        <xdr:cNvPr id="72" name="AutoShape 81">
          <a:extLst>
            <a:ext uri="{FF2B5EF4-FFF2-40B4-BE49-F238E27FC236}">
              <a16:creationId xmlns:a16="http://schemas.microsoft.com/office/drawing/2014/main" id="{47932CC0-6281-41F1-93FA-46893D5718A5}"/>
            </a:ext>
          </a:extLst>
        </xdr:cNvPr>
        <xdr:cNvSpPr>
          <a:spLocks noChangeArrowheads="1"/>
        </xdr:cNvSpPr>
      </xdr:nvSpPr>
      <xdr:spPr bwMode="auto">
        <a:xfrm>
          <a:off x="3886200" y="9582150"/>
          <a:ext cx="0" cy="1143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223838</xdr:colOff>
      <xdr:row>59</xdr:row>
      <xdr:rowOff>19050</xdr:rowOff>
    </xdr:from>
    <xdr:to>
      <xdr:col>4</xdr:col>
      <xdr:colOff>385763</xdr:colOff>
      <xdr:row>59</xdr:row>
      <xdr:rowOff>133350</xdr:rowOff>
    </xdr:to>
    <xdr:sp macro="" textlink="">
      <xdr:nvSpPr>
        <xdr:cNvPr id="73" name="AutoShape 82">
          <a:extLst>
            <a:ext uri="{FF2B5EF4-FFF2-40B4-BE49-F238E27FC236}">
              <a16:creationId xmlns:a16="http://schemas.microsoft.com/office/drawing/2014/main" id="{B8725396-CC94-4E6E-98AD-8B687A92D5AA}"/>
            </a:ext>
          </a:extLst>
        </xdr:cNvPr>
        <xdr:cNvSpPr>
          <a:spLocks noChangeArrowheads="1"/>
        </xdr:cNvSpPr>
      </xdr:nvSpPr>
      <xdr:spPr bwMode="auto">
        <a:xfrm>
          <a:off x="2814638" y="9572625"/>
          <a:ext cx="161925" cy="11430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39</xdr:row>
      <xdr:rowOff>114300</xdr:rowOff>
    </xdr:from>
    <xdr:to>
      <xdr:col>0</xdr:col>
      <xdr:colOff>238125</xdr:colOff>
      <xdr:row>39</xdr:row>
      <xdr:rowOff>228600</xdr:rowOff>
    </xdr:to>
    <xdr:sp macro="" textlink="">
      <xdr:nvSpPr>
        <xdr:cNvPr id="74" name="AutoShape 83">
          <a:extLst>
            <a:ext uri="{FF2B5EF4-FFF2-40B4-BE49-F238E27FC236}">
              <a16:creationId xmlns:a16="http://schemas.microsoft.com/office/drawing/2014/main" id="{26BBE824-A65F-4D9C-9A20-43B839679A79}"/>
            </a:ext>
          </a:extLst>
        </xdr:cNvPr>
        <xdr:cNvSpPr>
          <a:spLocks noChangeArrowheads="1"/>
        </xdr:cNvSpPr>
      </xdr:nvSpPr>
      <xdr:spPr bwMode="auto">
        <a:xfrm>
          <a:off x="114300" y="6429375"/>
          <a:ext cx="123825" cy="4762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100013</xdr:colOff>
      <xdr:row>40</xdr:row>
      <xdr:rowOff>85725</xdr:rowOff>
    </xdr:from>
    <xdr:to>
      <xdr:col>0</xdr:col>
      <xdr:colOff>261938</xdr:colOff>
      <xdr:row>40</xdr:row>
      <xdr:rowOff>228600</xdr:rowOff>
    </xdr:to>
    <xdr:sp macro="" textlink="">
      <xdr:nvSpPr>
        <xdr:cNvPr id="75" name="AutoShape 84">
          <a:extLst>
            <a:ext uri="{FF2B5EF4-FFF2-40B4-BE49-F238E27FC236}">
              <a16:creationId xmlns:a16="http://schemas.microsoft.com/office/drawing/2014/main" id="{FD5F8647-9E40-444C-B3D9-31FF2C163630}"/>
            </a:ext>
          </a:extLst>
        </xdr:cNvPr>
        <xdr:cNvSpPr>
          <a:spLocks noChangeArrowheads="1"/>
        </xdr:cNvSpPr>
      </xdr:nvSpPr>
      <xdr:spPr bwMode="auto">
        <a:xfrm>
          <a:off x="100013" y="6562725"/>
          <a:ext cx="161925" cy="762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38</xdr:row>
      <xdr:rowOff>95250</xdr:rowOff>
    </xdr:from>
    <xdr:to>
      <xdr:col>0</xdr:col>
      <xdr:colOff>257175</xdr:colOff>
      <xdr:row>38</xdr:row>
      <xdr:rowOff>228600</xdr:rowOff>
    </xdr:to>
    <xdr:grpSp>
      <xdr:nvGrpSpPr>
        <xdr:cNvPr id="76" name="Group 85">
          <a:extLst>
            <a:ext uri="{FF2B5EF4-FFF2-40B4-BE49-F238E27FC236}">
              <a16:creationId xmlns:a16="http://schemas.microsoft.com/office/drawing/2014/main" id="{40B88213-6ADE-43D8-9583-4741D8441A58}"/>
            </a:ext>
          </a:extLst>
        </xdr:cNvPr>
        <xdr:cNvGrpSpPr>
          <a:grpSpLocks/>
        </xdr:cNvGrpSpPr>
      </xdr:nvGrpSpPr>
      <xdr:grpSpPr bwMode="auto">
        <a:xfrm>
          <a:off x="114300" y="9109983"/>
          <a:ext cx="142875" cy="133350"/>
          <a:chOff x="219" y="873"/>
          <a:chExt cx="18" cy="18"/>
        </a:xfrm>
      </xdr:grpSpPr>
      <xdr:sp macro="" textlink="">
        <xdr:nvSpPr>
          <xdr:cNvPr id="77" name="AutoShape 86">
            <a:extLst>
              <a:ext uri="{FF2B5EF4-FFF2-40B4-BE49-F238E27FC236}">
                <a16:creationId xmlns:a16="http://schemas.microsoft.com/office/drawing/2014/main" id="{AE32BF6B-52AE-E288-A522-E851BCF97ACD}"/>
              </a:ext>
            </a:extLst>
          </xdr:cNvPr>
          <xdr:cNvSpPr>
            <a:spLocks noChangeArrowheads="1"/>
          </xdr:cNvSpPr>
        </xdr:nvSpPr>
        <xdr:spPr bwMode="auto">
          <a:xfrm>
            <a:off x="221" y="875"/>
            <a:ext cx="15" cy="15"/>
          </a:xfrm>
          <a:prstGeom prst="flowChartDecision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78" name="AutoShape 87">
            <a:extLst>
              <a:ext uri="{FF2B5EF4-FFF2-40B4-BE49-F238E27FC236}">
                <a16:creationId xmlns:a16="http://schemas.microsoft.com/office/drawing/2014/main" id="{3939D639-6594-D563-F3E9-EF575CFA4C7E}"/>
              </a:ext>
            </a:extLst>
          </xdr:cNvPr>
          <xdr:cNvSpPr>
            <a:spLocks noChangeArrowheads="1"/>
          </xdr:cNvSpPr>
        </xdr:nvSpPr>
        <xdr:spPr bwMode="auto">
          <a:xfrm>
            <a:off x="219" y="873"/>
            <a:ext cx="18" cy="18"/>
          </a:xfrm>
          <a:prstGeom prst="flowChartConnector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142875</xdr:colOff>
      <xdr:row>43</xdr:row>
      <xdr:rowOff>47625</xdr:rowOff>
    </xdr:from>
    <xdr:to>
      <xdr:col>0</xdr:col>
      <xdr:colOff>276225</xdr:colOff>
      <xdr:row>43</xdr:row>
      <xdr:rowOff>171450</xdr:rowOff>
    </xdr:to>
    <xdr:sp macro="" textlink="">
      <xdr:nvSpPr>
        <xdr:cNvPr id="79" name="AutoShape 88">
          <a:extLst>
            <a:ext uri="{FF2B5EF4-FFF2-40B4-BE49-F238E27FC236}">
              <a16:creationId xmlns:a16="http://schemas.microsoft.com/office/drawing/2014/main" id="{A25D7E73-7F92-4E78-B716-84A08B4DA5C4}"/>
            </a:ext>
          </a:extLst>
        </xdr:cNvPr>
        <xdr:cNvSpPr>
          <a:spLocks noChangeArrowheads="1"/>
        </xdr:cNvSpPr>
      </xdr:nvSpPr>
      <xdr:spPr bwMode="auto">
        <a:xfrm>
          <a:off x="142875" y="7010400"/>
          <a:ext cx="133350" cy="114300"/>
        </a:xfrm>
        <a:prstGeom prst="flowChartExtra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133350</xdr:colOff>
      <xdr:row>44</xdr:row>
      <xdr:rowOff>85725</xdr:rowOff>
    </xdr:from>
    <xdr:to>
      <xdr:col>0</xdr:col>
      <xdr:colOff>266700</xdr:colOff>
      <xdr:row>44</xdr:row>
      <xdr:rowOff>209550</xdr:rowOff>
    </xdr:to>
    <xdr:sp macro="" textlink="">
      <xdr:nvSpPr>
        <xdr:cNvPr id="80" name="Rectangle 89">
          <a:extLst>
            <a:ext uri="{FF2B5EF4-FFF2-40B4-BE49-F238E27FC236}">
              <a16:creationId xmlns:a16="http://schemas.microsoft.com/office/drawing/2014/main" id="{A20525EE-7D72-4643-AA1D-B35C8C83E035}"/>
            </a:ext>
          </a:extLst>
        </xdr:cNvPr>
        <xdr:cNvSpPr>
          <a:spLocks noChangeArrowheads="1"/>
        </xdr:cNvSpPr>
      </xdr:nvSpPr>
      <xdr:spPr bwMode="auto">
        <a:xfrm>
          <a:off x="133350" y="7210425"/>
          <a:ext cx="1333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152400</xdr:colOff>
      <xdr:row>42</xdr:row>
      <xdr:rowOff>85725</xdr:rowOff>
    </xdr:from>
    <xdr:to>
      <xdr:col>0</xdr:col>
      <xdr:colOff>276225</xdr:colOff>
      <xdr:row>42</xdr:row>
      <xdr:rowOff>200025</xdr:rowOff>
    </xdr:to>
    <xdr:sp macro="" textlink="">
      <xdr:nvSpPr>
        <xdr:cNvPr id="81" name="AutoShape 90">
          <a:extLst>
            <a:ext uri="{FF2B5EF4-FFF2-40B4-BE49-F238E27FC236}">
              <a16:creationId xmlns:a16="http://schemas.microsoft.com/office/drawing/2014/main" id="{098DA065-EA05-4C6A-9468-7C32C451D66C}"/>
            </a:ext>
          </a:extLst>
        </xdr:cNvPr>
        <xdr:cNvSpPr>
          <a:spLocks noChangeArrowheads="1"/>
        </xdr:cNvSpPr>
      </xdr:nvSpPr>
      <xdr:spPr bwMode="auto">
        <a:xfrm>
          <a:off x="152400" y="6886575"/>
          <a:ext cx="123825" cy="76200"/>
        </a:xfrm>
        <a:prstGeom prst="flowChartDe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123825</xdr:colOff>
      <xdr:row>41</xdr:row>
      <xdr:rowOff>104775</xdr:rowOff>
    </xdr:from>
    <xdr:to>
      <xdr:col>0</xdr:col>
      <xdr:colOff>285750</xdr:colOff>
      <xdr:row>41</xdr:row>
      <xdr:rowOff>219075</xdr:rowOff>
    </xdr:to>
    <xdr:sp macro="" textlink="">
      <xdr:nvSpPr>
        <xdr:cNvPr id="82" name="AutoShape 91">
          <a:extLst>
            <a:ext uri="{FF2B5EF4-FFF2-40B4-BE49-F238E27FC236}">
              <a16:creationId xmlns:a16="http://schemas.microsoft.com/office/drawing/2014/main" id="{B86E4593-57DF-4E18-B982-F5FF491E0EEC}"/>
            </a:ext>
          </a:extLst>
        </xdr:cNvPr>
        <xdr:cNvSpPr>
          <a:spLocks noChangeArrowheads="1"/>
        </xdr:cNvSpPr>
      </xdr:nvSpPr>
      <xdr:spPr bwMode="auto">
        <a:xfrm>
          <a:off x="123825" y="6743700"/>
          <a:ext cx="161925" cy="57150"/>
        </a:xfrm>
        <a:prstGeom prst="homePlate">
          <a:avLst>
            <a:gd name="adj" fmla="val 3541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0</xdr:rowOff>
    </xdr:from>
    <xdr:to>
      <xdr:col>0</xdr:col>
      <xdr:colOff>909638</xdr:colOff>
      <xdr:row>7</xdr:row>
      <xdr:rowOff>866775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54C733D-6CDC-4C19-8C52-41E2FE96E7DF}"/>
            </a:ext>
          </a:extLst>
        </xdr:cNvPr>
        <xdr:cNvSpPr>
          <a:spLocks noChangeShapeType="1"/>
        </xdr:cNvSpPr>
      </xdr:nvSpPr>
      <xdr:spPr bwMode="auto">
        <a:xfrm flipV="1">
          <a:off x="9525" y="1133475"/>
          <a:ext cx="757238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</xdr:row>
      <xdr:rowOff>0</xdr:rowOff>
    </xdr:from>
    <xdr:to>
      <xdr:col>0</xdr:col>
      <xdr:colOff>909638</xdr:colOff>
      <xdr:row>7</xdr:row>
      <xdr:rowOff>866775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290D9D4-3BF0-4DE4-8913-CD4206FFE8AD}"/>
            </a:ext>
          </a:extLst>
        </xdr:cNvPr>
        <xdr:cNvSpPr>
          <a:spLocks noChangeShapeType="1"/>
        </xdr:cNvSpPr>
      </xdr:nvSpPr>
      <xdr:spPr bwMode="auto">
        <a:xfrm flipV="1">
          <a:off x="9525" y="1133475"/>
          <a:ext cx="757238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1438275</xdr:colOff>
          <xdr:row>18</xdr:row>
          <xdr:rowOff>138113</xdr:rowOff>
        </xdr:from>
        <xdr:to>
          <xdr:col>0</xdr:col>
          <xdr:colOff>2405063</xdr:colOff>
          <xdr:row>20</xdr:row>
          <xdr:rowOff>19050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4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FMEA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2047875</xdr:colOff>
          <xdr:row>18</xdr:row>
          <xdr:rowOff>138113</xdr:rowOff>
        </xdr:from>
        <xdr:to>
          <xdr:col>0</xdr:col>
          <xdr:colOff>2947988</xdr:colOff>
          <xdr:row>20</xdr:row>
          <xdr:rowOff>28575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4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Control Plan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3019425</xdr:colOff>
          <xdr:row>18</xdr:row>
          <xdr:rowOff>138113</xdr:rowOff>
        </xdr:from>
        <xdr:to>
          <xdr:col>1</xdr:col>
          <xdr:colOff>847725</xdr:colOff>
          <xdr:row>20</xdr:row>
          <xdr:rowOff>19050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Work Instructions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3019425</xdr:colOff>
          <xdr:row>20</xdr:row>
          <xdr:rowOff>0</xdr:rowOff>
        </xdr:from>
        <xdr:to>
          <xdr:col>1</xdr:col>
          <xdr:colOff>204788</xdr:colOff>
          <xdr:row>21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4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490538</xdr:colOff>
          <xdr:row>20</xdr:row>
          <xdr:rowOff>0</xdr:rowOff>
        </xdr:from>
        <xdr:to>
          <xdr:col>1</xdr:col>
          <xdr:colOff>885825</xdr:colOff>
          <xdr:row>21</xdr:row>
          <xdr:rowOff>38100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4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1309688</xdr:colOff>
          <xdr:row>20</xdr:row>
          <xdr:rowOff>133350</xdr:rowOff>
        </xdr:from>
        <xdr:to>
          <xdr:col>3</xdr:col>
          <xdr:colOff>295275</xdr:colOff>
          <xdr:row>22</xdr:row>
          <xdr:rowOff>28575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1309688</xdr:colOff>
          <xdr:row>21</xdr:row>
          <xdr:rowOff>133350</xdr:rowOff>
        </xdr:from>
        <xdr:to>
          <xdr:col>3</xdr:col>
          <xdr:colOff>295275</xdr:colOff>
          <xdr:row>23</xdr:row>
          <xdr:rowOff>28575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6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1309688</xdr:colOff>
          <xdr:row>22</xdr:row>
          <xdr:rowOff>133350</xdr:rowOff>
        </xdr:from>
        <xdr:to>
          <xdr:col>3</xdr:col>
          <xdr:colOff>295275</xdr:colOff>
          <xdr:row>24</xdr:row>
          <xdr:rowOff>28575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6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1309688</xdr:colOff>
          <xdr:row>23</xdr:row>
          <xdr:rowOff>133350</xdr:rowOff>
        </xdr:from>
        <xdr:to>
          <xdr:col>3</xdr:col>
          <xdr:colOff>295275</xdr:colOff>
          <xdr:row>25</xdr:row>
          <xdr:rowOff>28575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6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623888</xdr:colOff>
          <xdr:row>23</xdr:row>
          <xdr:rowOff>133350</xdr:rowOff>
        </xdr:from>
        <xdr:to>
          <xdr:col>1</xdr:col>
          <xdr:colOff>947738</xdr:colOff>
          <xdr:row>25</xdr:row>
          <xdr:rowOff>28575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6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2043113</xdr:colOff>
          <xdr:row>23</xdr:row>
          <xdr:rowOff>133350</xdr:rowOff>
        </xdr:from>
        <xdr:to>
          <xdr:col>2</xdr:col>
          <xdr:colOff>90488</xdr:colOff>
          <xdr:row>25</xdr:row>
          <xdr:rowOff>28575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6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223838</xdr:colOff>
          <xdr:row>26</xdr:row>
          <xdr:rowOff>142875</xdr:rowOff>
        </xdr:from>
        <xdr:to>
          <xdr:col>0</xdr:col>
          <xdr:colOff>552450</xdr:colOff>
          <xdr:row>28</xdr:row>
          <xdr:rowOff>38100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6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195263</xdr:colOff>
          <xdr:row>26</xdr:row>
          <xdr:rowOff>133350</xdr:rowOff>
        </xdr:from>
        <xdr:to>
          <xdr:col>1</xdr:col>
          <xdr:colOff>519113</xdr:colOff>
          <xdr:row>28</xdr:row>
          <xdr:rowOff>28575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6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1114425</xdr:colOff>
          <xdr:row>26</xdr:row>
          <xdr:rowOff>142875</xdr:rowOff>
        </xdr:from>
        <xdr:to>
          <xdr:col>3</xdr:col>
          <xdr:colOff>104775</xdr:colOff>
          <xdr:row>28</xdr:row>
          <xdr:rowOff>38100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6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wn\Downloads\ppap_form.xls" TargetMode="External"/><Relationship Id="rId1" Type="http://schemas.openxmlformats.org/officeDocument/2006/relationships/externalLinkPath" Target="file:///C:\Users\shawn\Downloads\ppap_fo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on Data"/>
      <sheetName val="Characteristics List"/>
      <sheetName val="Part Submission Warrant 4th"/>
      <sheetName val="Truck Submission Warrant 4th"/>
      <sheetName val="Appearance Approval 4th"/>
      <sheetName val="Dimensional Results 4th"/>
      <sheetName val="Material Test Results 4th"/>
      <sheetName val="Performance Test Results 4th"/>
      <sheetName val="Bulk Materials Reqts 4th"/>
      <sheetName val="Design Matrix 4th"/>
      <sheetName val="Product-Process Change 4th"/>
      <sheetName val="Control Plan"/>
      <sheetName val="PFMEA"/>
      <sheetName val="Process Flow Diagram"/>
      <sheetName val="Inspection Report"/>
      <sheetName val="Appearance Ford-GM"/>
      <sheetName val="Appearance Approval - Chrysler"/>
      <sheetName val="Supplier Checklist"/>
      <sheetName val="Supplier Request"/>
      <sheetName val="Interim Recovery  Wkst GM1411"/>
      <sheetName val="Engineering Source Approval"/>
      <sheetName val="Bulk Material Interim Approval "/>
      <sheetName val="Process Matrix"/>
      <sheetName val="PQP Summary"/>
      <sheetName val="Data Point Coordinates"/>
      <sheetName val="Team Feasibility Commitment"/>
      <sheetName val="8-D Report"/>
    </sheetNames>
    <sheetDataSet>
      <sheetData sheetId="0">
        <row r="2">
          <cell r="B2" t="str">
            <v>PartName</v>
          </cell>
        </row>
        <row r="3">
          <cell r="B3">
            <v>123</v>
          </cell>
        </row>
        <row r="4">
          <cell r="B4">
            <v>987</v>
          </cell>
        </row>
        <row r="5">
          <cell r="B5">
            <v>0</v>
          </cell>
        </row>
        <row r="6">
          <cell r="B6" t="str">
            <v>Revision Code 0.0</v>
          </cell>
        </row>
        <row r="8">
          <cell r="B8" t="str">
            <v>CoreTeam</v>
          </cell>
        </row>
        <row r="9">
          <cell r="B9" t="str">
            <v>Supplier</v>
          </cell>
        </row>
        <row r="10">
          <cell r="B10">
            <v>123</v>
          </cell>
        </row>
        <row r="11">
          <cell r="B11" t="str">
            <v>123 Street</v>
          </cell>
        </row>
        <row r="12">
          <cell r="B12" t="str">
            <v>City</v>
          </cell>
        </row>
        <row r="13">
          <cell r="B13" t="str">
            <v>ST</v>
          </cell>
        </row>
        <row r="14">
          <cell r="B14">
            <v>12345</v>
          </cell>
        </row>
        <row r="16">
          <cell r="B16" t="str">
            <v>CitySt</v>
          </cell>
        </row>
        <row r="19">
          <cell r="B19">
            <v>456</v>
          </cell>
        </row>
        <row r="20">
          <cell r="B20">
            <v>234</v>
          </cell>
        </row>
        <row r="30">
          <cell r="B30" t="str">
            <v>InspectionName</v>
          </cell>
        </row>
      </sheetData>
      <sheetData sheetId="1">
        <row r="10">
          <cell r="A10">
            <v>1</v>
          </cell>
          <cell r="C10" t="str">
            <v>0.603-0.625 inches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13" Type="http://schemas.openxmlformats.org/officeDocument/2006/relationships/comments" Target="../comments4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9.xml"/><Relationship Id="rId12" Type="http://schemas.openxmlformats.org/officeDocument/2006/relationships/ctrlProp" Target="../ctrlProps/ctrlProp1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8.xml"/><Relationship Id="rId11" Type="http://schemas.openxmlformats.org/officeDocument/2006/relationships/ctrlProp" Target="../ctrlProps/ctrlProp13.xml"/><Relationship Id="rId5" Type="http://schemas.openxmlformats.org/officeDocument/2006/relationships/ctrlProp" Target="../ctrlProps/ctrlProp7.xml"/><Relationship Id="rId10" Type="http://schemas.openxmlformats.org/officeDocument/2006/relationships/ctrlProp" Target="../ctrlProps/ctrlProp12.xml"/><Relationship Id="rId4" Type="http://schemas.openxmlformats.org/officeDocument/2006/relationships/ctrlProp" Target="../ctrlProps/ctrlProp6.xml"/><Relationship Id="rId9" Type="http://schemas.openxmlformats.org/officeDocument/2006/relationships/ctrlProp" Target="../ctrlProps/ctrlProp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1F21-E592-46A3-A50A-4A6CC0BEE768}">
  <sheetPr codeName="Sheet17"/>
  <dimension ref="A1:H176"/>
  <sheetViews>
    <sheetView topLeftCell="A46" zoomScale="70" zoomScaleNormal="70" workbookViewId="0">
      <selection activeCell="C61" sqref="C61"/>
    </sheetView>
  </sheetViews>
  <sheetFormatPr defaultRowHeight="12.75"/>
  <cols>
    <col min="1" max="1" width="10.1328125" style="1" customWidth="1"/>
    <col min="2" max="2" width="18.73046875" style="1" customWidth="1"/>
    <col min="3" max="3" width="4" style="1" bestFit="1" customWidth="1"/>
    <col min="4" max="4" width="6.1328125" style="1" bestFit="1" customWidth="1"/>
    <col min="5" max="5" width="15.265625" style="1" customWidth="1"/>
    <col min="6" max="6" width="15.1328125" style="1" customWidth="1"/>
    <col min="7" max="7" width="9.86328125" style="1" customWidth="1"/>
    <col min="8" max="8" width="11" style="1" customWidth="1"/>
    <col min="9" max="16384" width="9.06640625" style="1"/>
  </cols>
  <sheetData>
    <row r="1" spans="1:8" ht="13.15">
      <c r="B1" s="220"/>
      <c r="E1" s="199" t="s">
        <v>242</v>
      </c>
    </row>
    <row r="2" spans="1:8">
      <c r="H2" s="1" t="s">
        <v>170</v>
      </c>
    </row>
    <row r="3" spans="1:8" ht="13.15">
      <c r="A3" s="199" t="s">
        <v>104</v>
      </c>
      <c r="E3" s="199" t="s">
        <v>241</v>
      </c>
      <c r="H3" s="1" t="s">
        <v>240</v>
      </c>
    </row>
    <row r="4" spans="1:8">
      <c r="A4" s="226"/>
    </row>
    <row r="5" spans="1:8" ht="17.25" customHeight="1">
      <c r="A5" s="199" t="s">
        <v>239</v>
      </c>
      <c r="E5" s="199" t="s">
        <v>238</v>
      </c>
    </row>
    <row r="6" spans="1:8">
      <c r="A6" s="226"/>
      <c r="E6" s="1">
        <f>'[1]Common Data'!$B$3</f>
        <v>123</v>
      </c>
    </row>
    <row r="7" spans="1:8" ht="15.75" customHeight="1">
      <c r="A7" s="199" t="s">
        <v>237</v>
      </c>
      <c r="F7" s="231" t="s">
        <v>236</v>
      </c>
      <c r="G7" s="230" t="s">
        <v>235</v>
      </c>
      <c r="H7" s="229" t="s">
        <v>234</v>
      </c>
    </row>
    <row r="8" spans="1:8">
      <c r="A8" s="226"/>
      <c r="F8" s="228">
        <v>123</v>
      </c>
      <c r="G8" s="29">
        <v>0</v>
      </c>
      <c r="H8" s="227">
        <f ca="1">TODAY()</f>
        <v>46271</v>
      </c>
    </row>
    <row r="9" spans="1:8" ht="15" customHeight="1">
      <c r="A9" s="199" t="s">
        <v>233</v>
      </c>
    </row>
    <row r="10" spans="1:8">
      <c r="A10" s="226"/>
    </row>
    <row r="11" spans="1:8" ht="13.15">
      <c r="A11" s="14"/>
      <c r="B11" s="13"/>
      <c r="C11" s="17"/>
      <c r="D11" s="16"/>
      <c r="E11" s="16"/>
      <c r="F11" s="225" t="s">
        <v>232</v>
      </c>
      <c r="G11" s="13"/>
      <c r="H11" s="18"/>
    </row>
    <row r="12" spans="1:8" ht="26.25">
      <c r="A12" s="66" t="s">
        <v>231</v>
      </c>
      <c r="B12" s="209" t="s">
        <v>230</v>
      </c>
      <c r="C12" s="66" t="s">
        <v>229</v>
      </c>
      <c r="D12" s="209" t="s">
        <v>228</v>
      </c>
      <c r="E12" s="224" t="s">
        <v>227</v>
      </c>
      <c r="F12" s="313" t="s">
        <v>226</v>
      </c>
      <c r="G12" s="314"/>
      <c r="H12" s="204" t="s">
        <v>225</v>
      </c>
    </row>
    <row r="13" spans="1:8" ht="21.95" customHeight="1">
      <c r="A13" s="26">
        <v>10</v>
      </c>
      <c r="B13" s="26"/>
      <c r="C13" s="208">
        <v>1</v>
      </c>
      <c r="D13" s="26"/>
      <c r="E13" s="17"/>
      <c r="F13" s="311"/>
      <c r="G13" s="312"/>
      <c r="H13" s="18"/>
    </row>
    <row r="14" spans="1:8" ht="21.95" customHeight="1">
      <c r="A14" s="26"/>
      <c r="B14" s="26"/>
      <c r="C14" s="208">
        <f t="shared" ref="C14:C32" si="0">C13+1</f>
        <v>2</v>
      </c>
      <c r="D14" s="26"/>
      <c r="E14" s="17"/>
      <c r="F14" s="311"/>
      <c r="G14" s="312"/>
      <c r="H14" s="18"/>
    </row>
    <row r="15" spans="1:8" ht="21.95" customHeight="1">
      <c r="A15" s="26"/>
      <c r="B15" s="26"/>
      <c r="C15" s="208">
        <f t="shared" si="0"/>
        <v>3</v>
      </c>
      <c r="D15" s="26"/>
      <c r="E15" s="17"/>
      <c r="F15" s="311"/>
      <c r="G15" s="312"/>
      <c r="H15" s="18"/>
    </row>
    <row r="16" spans="1:8" ht="21.95" customHeight="1">
      <c r="A16" s="26"/>
      <c r="B16" s="26"/>
      <c r="C16" s="208">
        <f t="shared" si="0"/>
        <v>4</v>
      </c>
      <c r="D16" s="26"/>
      <c r="E16" s="17"/>
      <c r="F16" s="311"/>
      <c r="G16" s="312"/>
      <c r="H16" s="18"/>
    </row>
    <row r="17" spans="1:8" ht="21.95" customHeight="1">
      <c r="A17" s="26"/>
      <c r="B17" s="26"/>
      <c r="C17" s="208">
        <f t="shared" si="0"/>
        <v>5</v>
      </c>
      <c r="D17" s="26"/>
      <c r="E17" s="17"/>
      <c r="F17" s="311"/>
      <c r="G17" s="312"/>
      <c r="H17" s="18"/>
    </row>
    <row r="18" spans="1:8" ht="21.95" customHeight="1">
      <c r="A18" s="26"/>
      <c r="B18" s="26"/>
      <c r="C18" s="208">
        <f t="shared" si="0"/>
        <v>6</v>
      </c>
      <c r="D18" s="26"/>
      <c r="E18" s="17"/>
      <c r="F18" s="311"/>
      <c r="G18" s="312"/>
      <c r="H18" s="18"/>
    </row>
    <row r="19" spans="1:8" ht="21.95" customHeight="1">
      <c r="A19" s="26"/>
      <c r="B19" s="26"/>
      <c r="C19" s="208">
        <f t="shared" si="0"/>
        <v>7</v>
      </c>
      <c r="D19" s="26"/>
      <c r="E19" s="17"/>
      <c r="F19" s="311"/>
      <c r="G19" s="312"/>
      <c r="H19" s="18"/>
    </row>
    <row r="20" spans="1:8" ht="21.95" customHeight="1">
      <c r="A20" s="26"/>
      <c r="B20" s="26"/>
      <c r="C20" s="208">
        <f t="shared" si="0"/>
        <v>8</v>
      </c>
      <c r="D20" s="26"/>
      <c r="E20" s="17"/>
      <c r="F20" s="311"/>
      <c r="G20" s="312"/>
      <c r="H20" s="18"/>
    </row>
    <row r="21" spans="1:8" ht="21.95" customHeight="1">
      <c r="A21" s="26"/>
      <c r="B21" s="26"/>
      <c r="C21" s="208">
        <f t="shared" si="0"/>
        <v>9</v>
      </c>
      <c r="D21" s="26"/>
      <c r="E21" s="17"/>
      <c r="F21" s="311"/>
      <c r="G21" s="312"/>
      <c r="H21" s="18"/>
    </row>
    <row r="22" spans="1:8" ht="21.95" customHeight="1">
      <c r="A22" s="26"/>
      <c r="B22" s="26"/>
      <c r="C22" s="208">
        <f t="shared" si="0"/>
        <v>10</v>
      </c>
      <c r="D22" s="26"/>
      <c r="E22" s="17"/>
      <c r="F22" s="311"/>
      <c r="G22" s="312"/>
      <c r="H22" s="18"/>
    </row>
    <row r="23" spans="1:8" ht="21.95" customHeight="1">
      <c r="A23" s="26"/>
      <c r="B23" s="26"/>
      <c r="C23" s="208">
        <f t="shared" si="0"/>
        <v>11</v>
      </c>
      <c r="D23" s="26"/>
      <c r="E23" s="17"/>
      <c r="F23" s="311"/>
      <c r="G23" s="312"/>
      <c r="H23" s="18"/>
    </row>
    <row r="24" spans="1:8" ht="21.95" customHeight="1">
      <c r="A24" s="26"/>
      <c r="B24" s="26"/>
      <c r="C24" s="208">
        <f t="shared" si="0"/>
        <v>12</v>
      </c>
      <c r="D24" s="26"/>
      <c r="E24" s="17"/>
      <c r="F24" s="311"/>
      <c r="G24" s="312"/>
      <c r="H24" s="18"/>
    </row>
    <row r="25" spans="1:8" ht="21.95" customHeight="1">
      <c r="A25" s="26"/>
      <c r="B25" s="26"/>
      <c r="C25" s="208">
        <f t="shared" si="0"/>
        <v>13</v>
      </c>
      <c r="D25" s="26"/>
      <c r="E25" s="17"/>
      <c r="F25" s="311"/>
      <c r="G25" s="312"/>
      <c r="H25" s="18"/>
    </row>
    <row r="26" spans="1:8" ht="21.95" customHeight="1">
      <c r="A26" s="26"/>
      <c r="B26" s="26"/>
      <c r="C26" s="208">
        <f t="shared" si="0"/>
        <v>14</v>
      </c>
      <c r="D26" s="26"/>
      <c r="E26" s="17"/>
      <c r="F26" s="311"/>
      <c r="G26" s="312"/>
      <c r="H26" s="18"/>
    </row>
    <row r="27" spans="1:8" ht="21.95" customHeight="1">
      <c r="A27" s="26"/>
      <c r="B27" s="26"/>
      <c r="C27" s="208">
        <f t="shared" si="0"/>
        <v>15</v>
      </c>
      <c r="D27" s="26"/>
      <c r="E27" s="17"/>
      <c r="F27" s="311"/>
      <c r="G27" s="312"/>
      <c r="H27" s="18"/>
    </row>
    <row r="28" spans="1:8" ht="21.95" customHeight="1">
      <c r="A28" s="26"/>
      <c r="B28" s="26"/>
      <c r="C28" s="208">
        <f t="shared" si="0"/>
        <v>16</v>
      </c>
      <c r="D28" s="26"/>
      <c r="E28" s="17"/>
      <c r="F28" s="311"/>
      <c r="G28" s="312"/>
      <c r="H28" s="18"/>
    </row>
    <row r="29" spans="1:8" ht="21.95" customHeight="1">
      <c r="A29" s="26"/>
      <c r="B29" s="26"/>
      <c r="C29" s="208">
        <f t="shared" si="0"/>
        <v>17</v>
      </c>
      <c r="D29" s="26"/>
      <c r="E29" s="17"/>
      <c r="F29" s="311"/>
      <c r="G29" s="312"/>
      <c r="H29" s="18"/>
    </row>
    <row r="30" spans="1:8" ht="21.95" customHeight="1">
      <c r="A30" s="26"/>
      <c r="B30" s="26"/>
      <c r="C30" s="208">
        <f t="shared" si="0"/>
        <v>18</v>
      </c>
      <c r="D30" s="26"/>
      <c r="E30" s="17"/>
      <c r="F30" s="311"/>
      <c r="G30" s="312"/>
      <c r="H30" s="18"/>
    </row>
    <row r="31" spans="1:8" ht="21.95" customHeight="1">
      <c r="A31" s="26"/>
      <c r="B31" s="26"/>
      <c r="C31" s="208">
        <f t="shared" si="0"/>
        <v>19</v>
      </c>
      <c r="D31" s="26"/>
      <c r="E31" s="17"/>
      <c r="F31" s="311"/>
      <c r="G31" s="312"/>
      <c r="H31" s="18"/>
    </row>
    <row r="32" spans="1:8" ht="21.95" customHeight="1">
      <c r="A32" s="26"/>
      <c r="B32" s="26"/>
      <c r="C32" s="208">
        <f t="shared" si="0"/>
        <v>20</v>
      </c>
      <c r="D32" s="26"/>
      <c r="E32" s="17"/>
      <c r="F32" s="311"/>
      <c r="G32" s="312"/>
      <c r="H32" s="18"/>
    </row>
    <row r="33" spans="1:8" ht="13.15">
      <c r="A33" s="219" t="s">
        <v>224</v>
      </c>
      <c r="B33" s="44"/>
      <c r="C33" s="44"/>
      <c r="D33" s="44"/>
      <c r="E33" s="44"/>
      <c r="F33" s="44"/>
      <c r="G33" s="44"/>
      <c r="H33" s="218"/>
    </row>
    <row r="34" spans="1:8">
      <c r="A34" s="223" t="s">
        <v>223</v>
      </c>
      <c r="B34" s="222" t="s">
        <v>222</v>
      </c>
      <c r="C34" s="222"/>
      <c r="D34" s="222" t="s">
        <v>221</v>
      </c>
      <c r="E34" s="222" t="s">
        <v>220</v>
      </c>
      <c r="F34" s="222" t="s">
        <v>219</v>
      </c>
      <c r="G34" s="222" t="s">
        <v>218</v>
      </c>
      <c r="H34" s="221" t="s">
        <v>56</v>
      </c>
    </row>
    <row r="35" spans="1:8" ht="13.15">
      <c r="A35" s="199" t="s">
        <v>217</v>
      </c>
      <c r="B35" s="199"/>
      <c r="C35" s="199"/>
      <c r="D35" s="199"/>
      <c r="E35" s="199" t="s">
        <v>2</v>
      </c>
      <c r="F35" s="199" t="s">
        <v>216</v>
      </c>
    </row>
    <row r="36" spans="1:8">
      <c r="E36" s="220">
        <f ca="1">TODAY()</f>
        <v>46271</v>
      </c>
      <c r="F36" s="1">
        <f>A10</f>
        <v>0</v>
      </c>
    </row>
    <row r="37" spans="1:8" ht="13.15">
      <c r="A37" s="14"/>
      <c r="B37" s="13"/>
      <c r="C37" s="17"/>
      <c r="D37" s="16"/>
      <c r="E37" s="16"/>
      <c r="F37" s="225" t="s">
        <v>232</v>
      </c>
      <c r="G37" s="13"/>
      <c r="H37" s="18"/>
    </row>
    <row r="38" spans="1:8" ht="26.25">
      <c r="A38" s="66" t="s">
        <v>231</v>
      </c>
      <c r="B38" s="66" t="s">
        <v>230</v>
      </c>
      <c r="C38" s="66" t="s">
        <v>229</v>
      </c>
      <c r="D38" s="209" t="s">
        <v>228</v>
      </c>
      <c r="E38" s="224" t="s">
        <v>227</v>
      </c>
      <c r="F38" s="313" t="s">
        <v>226</v>
      </c>
      <c r="G38" s="314"/>
      <c r="H38" s="204" t="s">
        <v>225</v>
      </c>
    </row>
    <row r="39" spans="1:8" ht="20.100000000000001" customHeight="1">
      <c r="A39" s="26">
        <v>10</v>
      </c>
      <c r="B39" s="26"/>
      <c r="C39" s="208">
        <f>C32+1</f>
        <v>21</v>
      </c>
      <c r="D39" s="26"/>
      <c r="E39" s="17"/>
      <c r="H39" s="18"/>
    </row>
    <row r="40" spans="1:8" ht="20.100000000000001" customHeight="1">
      <c r="A40" s="26"/>
      <c r="B40" s="26"/>
      <c r="C40" s="208">
        <f t="shared" ref="C40:C58" si="1">C39+1</f>
        <v>22</v>
      </c>
      <c r="D40" s="26"/>
      <c r="E40" s="17"/>
      <c r="F40" s="311"/>
      <c r="G40" s="312"/>
      <c r="H40" s="18"/>
    </row>
    <row r="41" spans="1:8" ht="20.100000000000001" customHeight="1">
      <c r="A41" s="26"/>
      <c r="B41" s="26"/>
      <c r="C41" s="208">
        <f t="shared" si="1"/>
        <v>23</v>
      </c>
      <c r="D41" s="26"/>
      <c r="E41" s="17"/>
      <c r="F41" s="311"/>
      <c r="G41" s="312"/>
      <c r="H41" s="18"/>
    </row>
    <row r="42" spans="1:8" ht="20.100000000000001" customHeight="1">
      <c r="A42" s="26"/>
      <c r="B42" s="26"/>
      <c r="C42" s="208">
        <f t="shared" si="1"/>
        <v>24</v>
      </c>
      <c r="D42" s="26"/>
      <c r="F42" s="311"/>
      <c r="G42" s="312"/>
      <c r="H42" s="18"/>
    </row>
    <row r="43" spans="1:8" ht="20.100000000000001" customHeight="1">
      <c r="A43" s="26"/>
      <c r="B43" s="26"/>
      <c r="C43" s="208">
        <f t="shared" si="1"/>
        <v>25</v>
      </c>
      <c r="D43" s="26"/>
      <c r="E43" s="17"/>
      <c r="F43" s="311"/>
      <c r="G43" s="312"/>
      <c r="H43" s="18"/>
    </row>
    <row r="44" spans="1:8" ht="20.100000000000001" customHeight="1">
      <c r="A44" s="26"/>
      <c r="B44" s="26"/>
      <c r="C44" s="208">
        <f t="shared" si="1"/>
        <v>26</v>
      </c>
      <c r="D44" s="26"/>
      <c r="E44" s="17"/>
      <c r="H44" s="18"/>
    </row>
    <row r="45" spans="1:8" ht="20.100000000000001" customHeight="1">
      <c r="A45" s="26"/>
      <c r="B45" s="26"/>
      <c r="C45" s="208">
        <f t="shared" si="1"/>
        <v>27</v>
      </c>
      <c r="D45" s="26"/>
      <c r="E45" s="17"/>
      <c r="F45" s="311"/>
      <c r="G45" s="312"/>
      <c r="H45" s="18"/>
    </row>
    <row r="46" spans="1:8" ht="20.100000000000001" customHeight="1">
      <c r="A46" s="26"/>
      <c r="B46" s="26"/>
      <c r="C46" s="208">
        <f t="shared" si="1"/>
        <v>28</v>
      </c>
      <c r="D46" s="26"/>
      <c r="E46" s="17"/>
      <c r="F46" s="311"/>
      <c r="G46" s="312"/>
      <c r="H46" s="18"/>
    </row>
    <row r="47" spans="1:8" ht="20.100000000000001" customHeight="1">
      <c r="A47" s="26"/>
      <c r="B47" s="26"/>
      <c r="C47" s="208">
        <f t="shared" si="1"/>
        <v>29</v>
      </c>
      <c r="D47" s="26"/>
      <c r="E47" s="17"/>
      <c r="F47" s="311"/>
      <c r="G47" s="312"/>
      <c r="H47" s="18"/>
    </row>
    <row r="48" spans="1:8" ht="20.100000000000001" customHeight="1">
      <c r="A48" s="26"/>
      <c r="B48" s="26"/>
      <c r="C48" s="208">
        <f t="shared" si="1"/>
        <v>30</v>
      </c>
      <c r="D48" s="26"/>
      <c r="E48" s="17"/>
      <c r="F48" s="311"/>
      <c r="G48" s="312"/>
      <c r="H48" s="18"/>
    </row>
    <row r="49" spans="1:8" ht="20.100000000000001" customHeight="1">
      <c r="A49" s="26"/>
      <c r="B49" s="26"/>
      <c r="C49" s="208">
        <f t="shared" si="1"/>
        <v>31</v>
      </c>
      <c r="D49" s="26"/>
      <c r="E49" s="17"/>
      <c r="F49" s="311"/>
      <c r="G49" s="312"/>
      <c r="H49" s="18"/>
    </row>
    <row r="50" spans="1:8" ht="20.100000000000001" customHeight="1">
      <c r="A50" s="26"/>
      <c r="B50" s="26"/>
      <c r="C50" s="208">
        <f t="shared" si="1"/>
        <v>32</v>
      </c>
      <c r="D50" s="26"/>
      <c r="E50" s="17"/>
      <c r="F50" s="311"/>
      <c r="G50" s="312"/>
      <c r="H50" s="18"/>
    </row>
    <row r="51" spans="1:8" ht="20.100000000000001" customHeight="1">
      <c r="A51" s="26"/>
      <c r="B51" s="26"/>
      <c r="C51" s="208">
        <f t="shared" si="1"/>
        <v>33</v>
      </c>
      <c r="D51" s="26"/>
      <c r="E51" s="17"/>
      <c r="F51" s="311"/>
      <c r="G51" s="312"/>
      <c r="H51" s="18"/>
    </row>
    <row r="52" spans="1:8" ht="20.100000000000001" customHeight="1">
      <c r="A52" s="26"/>
      <c r="B52" s="26"/>
      <c r="C52" s="208">
        <f t="shared" si="1"/>
        <v>34</v>
      </c>
      <c r="D52" s="26"/>
      <c r="E52" s="17"/>
      <c r="F52" s="311"/>
      <c r="G52" s="312"/>
      <c r="H52" s="18"/>
    </row>
    <row r="53" spans="1:8" ht="20.100000000000001" customHeight="1">
      <c r="A53" s="26"/>
      <c r="B53" s="26"/>
      <c r="C53" s="208">
        <f t="shared" si="1"/>
        <v>35</v>
      </c>
      <c r="D53" s="26"/>
      <c r="E53" s="17"/>
      <c r="F53" s="311"/>
      <c r="G53" s="312"/>
      <c r="H53" s="18"/>
    </row>
    <row r="54" spans="1:8" ht="20.100000000000001" customHeight="1">
      <c r="A54" s="26"/>
      <c r="B54" s="26"/>
      <c r="C54" s="208">
        <f t="shared" si="1"/>
        <v>36</v>
      </c>
      <c r="D54" s="26"/>
      <c r="E54" s="17"/>
      <c r="F54" s="311"/>
      <c r="G54" s="312"/>
      <c r="H54" s="18"/>
    </row>
    <row r="55" spans="1:8" ht="20.100000000000001" customHeight="1">
      <c r="A55" s="26"/>
      <c r="B55" s="26"/>
      <c r="C55" s="208">
        <f t="shared" si="1"/>
        <v>37</v>
      </c>
      <c r="D55" s="26"/>
      <c r="E55" s="17"/>
      <c r="F55" s="311"/>
      <c r="G55" s="312"/>
      <c r="H55" s="18"/>
    </row>
    <row r="56" spans="1:8" ht="20.100000000000001" customHeight="1">
      <c r="A56" s="26"/>
      <c r="B56" s="26"/>
      <c r="C56" s="208">
        <f t="shared" si="1"/>
        <v>38</v>
      </c>
      <c r="D56" s="26"/>
      <c r="E56" s="17"/>
      <c r="F56" s="311"/>
      <c r="G56" s="312"/>
      <c r="H56" s="18"/>
    </row>
    <row r="57" spans="1:8" ht="20.100000000000001" customHeight="1">
      <c r="A57" s="26"/>
      <c r="B57" s="26"/>
      <c r="C57" s="208">
        <f t="shared" si="1"/>
        <v>39</v>
      </c>
      <c r="D57" s="26"/>
      <c r="E57" s="17"/>
      <c r="F57" s="311"/>
      <c r="G57" s="312"/>
      <c r="H57" s="18"/>
    </row>
    <row r="58" spans="1:8" ht="20.100000000000001" customHeight="1">
      <c r="A58" s="26"/>
      <c r="B58" s="26"/>
      <c r="C58" s="208">
        <f t="shared" si="1"/>
        <v>40</v>
      </c>
      <c r="D58" s="26"/>
      <c r="E58" s="17"/>
      <c r="F58" s="311"/>
      <c r="G58" s="312"/>
      <c r="H58" s="18"/>
    </row>
    <row r="59" spans="1:8" ht="13.15">
      <c r="A59" s="219" t="s">
        <v>224</v>
      </c>
      <c r="B59" s="44"/>
      <c r="C59" s="44"/>
      <c r="D59" s="44"/>
      <c r="E59" s="44"/>
      <c r="F59" s="44"/>
      <c r="G59" s="44"/>
      <c r="H59" s="218"/>
    </row>
    <row r="60" spans="1:8">
      <c r="A60" s="223" t="s">
        <v>223</v>
      </c>
      <c r="B60" s="222" t="s">
        <v>222</v>
      </c>
      <c r="C60" s="222"/>
      <c r="D60" s="222" t="s">
        <v>221</v>
      </c>
      <c r="E60" s="222" t="s">
        <v>220</v>
      </c>
      <c r="F60" s="222" t="s">
        <v>219</v>
      </c>
      <c r="G60" s="222" t="s">
        <v>218</v>
      </c>
      <c r="H60" s="221" t="s">
        <v>56</v>
      </c>
    </row>
    <row r="61" spans="1:8" ht="13.15">
      <c r="A61" s="199" t="s">
        <v>217</v>
      </c>
      <c r="B61" s="199"/>
      <c r="C61" s="199"/>
      <c r="D61" s="199"/>
      <c r="E61" s="199" t="s">
        <v>2</v>
      </c>
      <c r="F61" s="199" t="s">
        <v>216</v>
      </c>
    </row>
    <row r="62" spans="1:8">
      <c r="E62" s="220">
        <f ca="1">TODAY()</f>
        <v>46271</v>
      </c>
      <c r="F62" s="1">
        <f>A36</f>
        <v>0</v>
      </c>
    </row>
    <row r="97" spans="1:8" ht="13.15">
      <c r="A97" s="219" t="s">
        <v>224</v>
      </c>
      <c r="B97" s="44"/>
      <c r="C97" s="44"/>
      <c r="D97" s="44"/>
      <c r="E97" s="44"/>
      <c r="F97" s="44"/>
      <c r="G97" s="44"/>
      <c r="H97" s="218"/>
    </row>
    <row r="98" spans="1:8">
      <c r="A98" s="223" t="s">
        <v>223</v>
      </c>
      <c r="B98" s="222" t="s">
        <v>222</v>
      </c>
      <c r="C98" s="222"/>
      <c r="D98" s="222" t="s">
        <v>221</v>
      </c>
      <c r="E98" s="222" t="s">
        <v>220</v>
      </c>
      <c r="F98" s="222" t="s">
        <v>219</v>
      </c>
      <c r="G98" s="222" t="s">
        <v>218</v>
      </c>
      <c r="H98" s="221" t="s">
        <v>56</v>
      </c>
    </row>
    <row r="99" spans="1:8" ht="13.15">
      <c r="A99" s="199" t="s">
        <v>217</v>
      </c>
      <c r="B99" s="199"/>
      <c r="C99" s="199"/>
      <c r="D99" s="199"/>
      <c r="E99" s="199" t="s">
        <v>2</v>
      </c>
      <c r="F99" s="199" t="s">
        <v>216</v>
      </c>
    </row>
    <row r="100" spans="1:8">
      <c r="E100" s="220">
        <f ca="1">TODAY()</f>
        <v>46271</v>
      </c>
    </row>
    <row r="135" spans="1:8" ht="13.15">
      <c r="A135" s="219" t="s">
        <v>224</v>
      </c>
      <c r="B135" s="44"/>
      <c r="C135" s="44"/>
      <c r="D135" s="44"/>
      <c r="E135" s="44"/>
      <c r="F135" s="44"/>
      <c r="G135" s="44"/>
      <c r="H135" s="218"/>
    </row>
    <row r="136" spans="1:8">
      <c r="A136" s="223" t="s">
        <v>223</v>
      </c>
      <c r="B136" s="222" t="s">
        <v>222</v>
      </c>
      <c r="C136" s="222"/>
      <c r="D136" s="222" t="s">
        <v>221</v>
      </c>
      <c r="E136" s="222" t="s">
        <v>220</v>
      </c>
      <c r="F136" s="222" t="s">
        <v>219</v>
      </c>
      <c r="G136" s="222" t="s">
        <v>218</v>
      </c>
      <c r="H136" s="221" t="s">
        <v>56</v>
      </c>
    </row>
    <row r="137" spans="1:8" ht="13.15">
      <c r="A137" s="199" t="s">
        <v>217</v>
      </c>
      <c r="B137" s="199"/>
      <c r="C137" s="199"/>
      <c r="D137" s="199"/>
      <c r="E137" s="199" t="s">
        <v>2</v>
      </c>
      <c r="F137" s="199" t="s">
        <v>216</v>
      </c>
    </row>
    <row r="138" spans="1:8">
      <c r="E138" s="220">
        <f ca="1">TODAY()</f>
        <v>46271</v>
      </c>
      <c r="F138" s="1">
        <f>A112</f>
        <v>0</v>
      </c>
    </row>
    <row r="173" spans="1:8" ht="13.15">
      <c r="A173" s="219" t="s">
        <v>224</v>
      </c>
      <c r="B173" s="44"/>
      <c r="C173" s="44"/>
      <c r="D173" s="44"/>
      <c r="E173" s="44"/>
      <c r="F173" s="44"/>
      <c r="G173" s="44"/>
      <c r="H173" s="218"/>
    </row>
    <row r="174" spans="1:8">
      <c r="A174" s="223" t="s">
        <v>223</v>
      </c>
      <c r="B174" s="222" t="s">
        <v>222</v>
      </c>
      <c r="C174" s="222"/>
      <c r="D174" s="222" t="s">
        <v>221</v>
      </c>
      <c r="E174" s="222" t="s">
        <v>220</v>
      </c>
      <c r="F174" s="222" t="s">
        <v>219</v>
      </c>
      <c r="G174" s="222" t="s">
        <v>218</v>
      </c>
      <c r="H174" s="221" t="s">
        <v>56</v>
      </c>
    </row>
    <row r="175" spans="1:8" ht="13.15">
      <c r="A175" s="199" t="s">
        <v>217</v>
      </c>
      <c r="B175" s="199"/>
      <c r="C175" s="199"/>
      <c r="D175" s="199"/>
      <c r="E175" s="199" t="s">
        <v>2</v>
      </c>
      <c r="F175" s="199" t="s">
        <v>216</v>
      </c>
    </row>
    <row r="176" spans="1:8">
      <c r="E176" s="220">
        <f ca="1">TODAY()</f>
        <v>46271</v>
      </c>
      <c r="F176" s="1">
        <f>A150</f>
        <v>0</v>
      </c>
    </row>
  </sheetData>
  <mergeCells count="40">
    <mergeCell ref="F50:G50"/>
    <mergeCell ref="F51:G51"/>
    <mergeCell ref="F52:G52"/>
    <mergeCell ref="F53:G53"/>
    <mergeCell ref="F58:G58"/>
    <mergeCell ref="F54:G54"/>
    <mergeCell ref="F55:G55"/>
    <mergeCell ref="F56:G56"/>
    <mergeCell ref="F57:G57"/>
    <mergeCell ref="F46:G46"/>
    <mergeCell ref="F47:G47"/>
    <mergeCell ref="F48:G48"/>
    <mergeCell ref="F49:G49"/>
    <mergeCell ref="F42:G42"/>
    <mergeCell ref="F43:G43"/>
    <mergeCell ref="F45:G45"/>
    <mergeCell ref="F23:G23"/>
    <mergeCell ref="F38:G38"/>
    <mergeCell ref="F40:G40"/>
    <mergeCell ref="F41:G4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4:G24"/>
    <mergeCell ref="F25:G25"/>
    <mergeCell ref="F26:G26"/>
    <mergeCell ref="F27:G27"/>
    <mergeCell ref="F32:G32"/>
    <mergeCell ref="F28:G28"/>
    <mergeCell ref="F29:G29"/>
    <mergeCell ref="F30:G30"/>
    <mergeCell ref="F31:G31"/>
  </mergeCells>
  <pageMargins left="0.75" right="0.75" top="1" bottom="1" header="0.5" footer="0.5"/>
  <pageSetup orientation="portrait" verticalDpi="4294967293" r:id="rId1"/>
  <headerFooter alignWithMargins="0">
    <oddFooter>&amp;RRevision Code 0.0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6E43-47B7-42F6-94B4-8E65A3E002AF}">
  <sheetPr codeName="Sheet123"/>
  <dimension ref="A1:R45"/>
  <sheetViews>
    <sheetView zoomScale="75" workbookViewId="0">
      <selection activeCell="L1" sqref="L1"/>
    </sheetView>
  </sheetViews>
  <sheetFormatPr defaultColWidth="10.73046875" defaultRowHeight="12.4"/>
  <cols>
    <col min="1" max="1" width="12.86328125" style="67" customWidth="1"/>
    <col min="2" max="2" width="24" style="67" customWidth="1"/>
    <col min="3" max="3" width="15.59765625" style="67" customWidth="1"/>
    <col min="4" max="4" width="2.73046875" style="67" customWidth="1"/>
    <col min="5" max="5" width="2.86328125" style="67" customWidth="1"/>
    <col min="6" max="6" width="15.73046875" style="67" customWidth="1"/>
    <col min="7" max="7" width="2.86328125" style="67" customWidth="1"/>
    <col min="8" max="9" width="13.3984375" style="67" customWidth="1"/>
    <col min="10" max="10" width="3.1328125" style="67" customWidth="1"/>
    <col min="11" max="11" width="2.86328125" style="67" customWidth="1"/>
    <col min="12" max="14" width="15" style="67" customWidth="1"/>
    <col min="15" max="15" width="3.1328125" style="67" customWidth="1"/>
    <col min="16" max="16" width="2.86328125" style="67" customWidth="1"/>
    <col min="17" max="17" width="3.1328125" style="67" customWidth="1"/>
    <col min="18" max="18" width="2.86328125" style="67" customWidth="1"/>
    <col min="19" max="19" width="10.3984375" style="67" customWidth="1"/>
    <col min="20" max="16384" width="10.73046875" style="67"/>
  </cols>
  <sheetData>
    <row r="1" spans="1:18" s="135" customFormat="1" ht="37.5" thickBot="1">
      <c r="A1" s="160"/>
      <c r="F1" s="159" t="s">
        <v>174</v>
      </c>
      <c r="G1" s="158"/>
      <c r="H1" s="158"/>
      <c r="I1" s="158"/>
      <c r="M1" s="157"/>
      <c r="N1" s="156"/>
    </row>
    <row r="2" spans="1:18" ht="14.1" customHeight="1">
      <c r="A2" s="155"/>
      <c r="B2" s="154"/>
      <c r="C2" s="150"/>
      <c r="D2" s="150"/>
      <c r="E2" s="150"/>
      <c r="F2" s="150"/>
      <c r="G2" s="150"/>
      <c r="H2" s="153"/>
      <c r="I2" s="153"/>
      <c r="J2" s="153"/>
      <c r="K2" s="153"/>
      <c r="L2" s="150"/>
      <c r="M2" s="152" t="s">
        <v>173</v>
      </c>
      <c r="N2" s="151" t="s">
        <v>172</v>
      </c>
      <c r="O2" s="151"/>
      <c r="P2" s="151"/>
      <c r="Q2" s="150"/>
      <c r="R2" s="149"/>
    </row>
    <row r="3" spans="1:18" ht="14.1" customHeight="1">
      <c r="A3" s="148"/>
      <c r="B3" s="147"/>
      <c r="C3" s="135"/>
      <c r="D3" s="135"/>
      <c r="E3" s="142" t="s">
        <v>171</v>
      </c>
      <c r="F3" s="146"/>
      <c r="L3" s="135"/>
      <c r="M3" s="138" t="s">
        <v>170</v>
      </c>
      <c r="N3" s="136">
        <v>1</v>
      </c>
      <c r="O3" s="136" t="s">
        <v>169</v>
      </c>
      <c r="P3" s="136">
        <v>1</v>
      </c>
      <c r="Q3" s="135"/>
      <c r="R3" s="134"/>
    </row>
    <row r="4" spans="1:18" ht="14.1" customHeight="1">
      <c r="A4" s="143" t="s">
        <v>168</v>
      </c>
      <c r="B4" s="145" t="s">
        <v>167</v>
      </c>
      <c r="C4" s="135"/>
      <c r="E4" s="142" t="s">
        <v>166</v>
      </c>
      <c r="F4" s="144" t="s">
        <v>62</v>
      </c>
      <c r="G4" s="140"/>
      <c r="H4" s="139"/>
      <c r="L4" s="135"/>
      <c r="M4" s="138" t="s">
        <v>165</v>
      </c>
      <c r="N4" s="136" t="s">
        <v>164</v>
      </c>
      <c r="O4" s="136"/>
      <c r="P4" s="136"/>
      <c r="Q4" s="135"/>
      <c r="R4" s="134"/>
    </row>
    <row r="5" spans="1:18" ht="14.1" customHeight="1">
      <c r="A5" s="143" t="s">
        <v>163</v>
      </c>
      <c r="B5" s="136" t="s">
        <v>162</v>
      </c>
      <c r="C5" s="135"/>
      <c r="D5" s="135"/>
      <c r="E5" s="142" t="s">
        <v>161</v>
      </c>
      <c r="F5" s="141">
        <v>39644</v>
      </c>
      <c r="G5" s="140"/>
      <c r="H5" s="139"/>
      <c r="L5" s="135"/>
      <c r="M5" s="138" t="s">
        <v>160</v>
      </c>
      <c r="N5" s="137">
        <v>39644</v>
      </c>
      <c r="O5" s="136"/>
      <c r="P5" s="136"/>
      <c r="Q5" s="135"/>
      <c r="R5" s="134"/>
    </row>
    <row r="6" spans="1:18" ht="14.25" customHeight="1" thickBot="1">
      <c r="A6" s="133" t="s">
        <v>159</v>
      </c>
      <c r="B6" s="129" t="s">
        <v>158</v>
      </c>
      <c r="C6" s="132"/>
      <c r="D6" s="128"/>
      <c r="E6" s="128"/>
      <c r="F6" s="128"/>
      <c r="G6" s="128"/>
      <c r="H6" s="128"/>
      <c r="I6" s="128"/>
      <c r="J6" s="128"/>
      <c r="K6" s="128"/>
      <c r="L6" s="131"/>
      <c r="M6" s="130"/>
      <c r="N6" s="129"/>
      <c r="O6" s="129"/>
      <c r="P6" s="129"/>
      <c r="Q6" s="128"/>
      <c r="R6" s="127"/>
    </row>
    <row r="7" spans="1:18" ht="14.25" customHeight="1" thickBot="1">
      <c r="A7" s="126" t="s">
        <v>157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4"/>
      <c r="M7" s="124"/>
      <c r="N7" s="123" t="s">
        <v>156</v>
      </c>
      <c r="O7" s="122"/>
      <c r="P7" s="122"/>
      <c r="Q7" s="122"/>
      <c r="R7" s="121"/>
    </row>
    <row r="8" spans="1:18" ht="69" customHeight="1" thickBot="1">
      <c r="A8" s="120" t="s">
        <v>155</v>
      </c>
      <c r="B8" s="118" t="s">
        <v>154</v>
      </c>
      <c r="C8" s="118" t="s">
        <v>153</v>
      </c>
      <c r="D8" s="116" t="s">
        <v>128</v>
      </c>
      <c r="E8" s="116" t="s">
        <v>152</v>
      </c>
      <c r="F8" s="118" t="s">
        <v>151</v>
      </c>
      <c r="G8" s="116" t="s">
        <v>145</v>
      </c>
      <c r="H8" s="118" t="s">
        <v>150</v>
      </c>
      <c r="I8" s="118" t="s">
        <v>149</v>
      </c>
      <c r="J8" s="116" t="s">
        <v>144</v>
      </c>
      <c r="K8" s="119" t="s">
        <v>143</v>
      </c>
      <c r="L8" s="118" t="s">
        <v>148</v>
      </c>
      <c r="M8" s="118" t="s">
        <v>147</v>
      </c>
      <c r="N8" s="117" t="s">
        <v>146</v>
      </c>
      <c r="O8" s="116" t="s">
        <v>128</v>
      </c>
      <c r="P8" s="116" t="s">
        <v>145</v>
      </c>
      <c r="Q8" s="116" t="s">
        <v>144</v>
      </c>
      <c r="R8" s="115" t="s">
        <v>143</v>
      </c>
    </row>
    <row r="9" spans="1:18" ht="86.65">
      <c r="A9" s="114" t="s">
        <v>142</v>
      </c>
      <c r="B9" s="111" t="s">
        <v>141</v>
      </c>
      <c r="C9" s="111" t="s">
        <v>140</v>
      </c>
      <c r="D9" s="111"/>
      <c r="E9" s="111"/>
      <c r="F9" s="111" t="s">
        <v>139</v>
      </c>
      <c r="G9" s="111"/>
      <c r="H9" s="111" t="s">
        <v>138</v>
      </c>
      <c r="I9" s="111" t="s">
        <v>137</v>
      </c>
      <c r="J9" s="111"/>
      <c r="K9" s="113">
        <f t="shared" ref="K9:K29" si="0">+D9*G9*J9</f>
        <v>0</v>
      </c>
      <c r="L9" s="112" t="s">
        <v>136</v>
      </c>
      <c r="M9" s="112" t="s">
        <v>135</v>
      </c>
      <c r="N9" s="112" t="s">
        <v>134</v>
      </c>
      <c r="O9" s="111"/>
      <c r="P9" s="111"/>
      <c r="Q9" s="111"/>
      <c r="R9" s="110">
        <f t="shared" ref="R9:R31" si="1">+O9*P9*Q9</f>
        <v>0</v>
      </c>
    </row>
    <row r="10" spans="1:18">
      <c r="A10" s="114"/>
      <c r="B10" s="111"/>
      <c r="C10" s="111"/>
      <c r="D10" s="111"/>
      <c r="E10" s="111"/>
      <c r="F10" s="111"/>
      <c r="G10" s="111"/>
      <c r="H10" s="111"/>
      <c r="I10" s="111"/>
      <c r="J10" s="111"/>
      <c r="K10" s="113">
        <f t="shared" si="0"/>
        <v>0</v>
      </c>
      <c r="L10" s="112"/>
      <c r="M10" s="112"/>
      <c r="N10" s="112"/>
      <c r="O10" s="111"/>
      <c r="P10" s="111"/>
      <c r="Q10" s="111"/>
      <c r="R10" s="110">
        <f t="shared" si="1"/>
        <v>0</v>
      </c>
    </row>
    <row r="11" spans="1:18">
      <c r="A11" s="114"/>
      <c r="B11" s="111"/>
      <c r="C11" s="111"/>
      <c r="D11" s="111"/>
      <c r="E11" s="111"/>
      <c r="F11" s="111"/>
      <c r="G11" s="111"/>
      <c r="H11" s="111"/>
      <c r="I11" s="111"/>
      <c r="J11" s="111"/>
      <c r="K11" s="113">
        <f t="shared" si="0"/>
        <v>0</v>
      </c>
      <c r="L11" s="112"/>
      <c r="M11" s="112"/>
      <c r="N11" s="112"/>
      <c r="O11" s="111"/>
      <c r="P11" s="111"/>
      <c r="Q11" s="111"/>
      <c r="R11" s="110">
        <f t="shared" si="1"/>
        <v>0</v>
      </c>
    </row>
    <row r="12" spans="1:18">
      <c r="A12" s="114"/>
      <c r="B12" s="111"/>
      <c r="C12" s="111"/>
      <c r="D12" s="111"/>
      <c r="E12" s="111"/>
      <c r="F12" s="111"/>
      <c r="G12" s="111"/>
      <c r="H12" s="111"/>
      <c r="I12" s="111"/>
      <c r="J12" s="111"/>
      <c r="K12" s="113">
        <f t="shared" si="0"/>
        <v>0</v>
      </c>
      <c r="L12" s="112"/>
      <c r="M12" s="112"/>
      <c r="N12" s="112"/>
      <c r="O12" s="111"/>
      <c r="P12" s="111"/>
      <c r="Q12" s="111"/>
      <c r="R12" s="110">
        <f t="shared" si="1"/>
        <v>0</v>
      </c>
    </row>
    <row r="13" spans="1:18">
      <c r="A13" s="114"/>
      <c r="B13" s="111"/>
      <c r="C13" s="111"/>
      <c r="D13" s="111"/>
      <c r="E13" s="111"/>
      <c r="F13" s="111"/>
      <c r="G13" s="111"/>
      <c r="H13" s="111"/>
      <c r="I13" s="111"/>
      <c r="J13" s="111"/>
      <c r="K13" s="113">
        <f t="shared" si="0"/>
        <v>0</v>
      </c>
      <c r="L13" s="112"/>
      <c r="M13" s="112"/>
      <c r="N13" s="112"/>
      <c r="O13" s="111"/>
      <c r="P13" s="111"/>
      <c r="Q13" s="111"/>
      <c r="R13" s="110">
        <f t="shared" si="1"/>
        <v>0</v>
      </c>
    </row>
    <row r="14" spans="1:18">
      <c r="A14" s="114"/>
      <c r="B14" s="111"/>
      <c r="C14" s="111"/>
      <c r="D14" s="111"/>
      <c r="E14" s="111"/>
      <c r="F14" s="111"/>
      <c r="G14" s="111"/>
      <c r="H14" s="111"/>
      <c r="I14" s="111"/>
      <c r="J14" s="111"/>
      <c r="K14" s="113">
        <f t="shared" si="0"/>
        <v>0</v>
      </c>
      <c r="L14" s="112"/>
      <c r="M14" s="112"/>
      <c r="N14" s="112"/>
      <c r="O14" s="111"/>
      <c r="P14" s="111"/>
      <c r="Q14" s="111"/>
      <c r="R14" s="110">
        <f t="shared" si="1"/>
        <v>0</v>
      </c>
    </row>
    <row r="15" spans="1:18">
      <c r="A15" s="114"/>
      <c r="B15" s="111"/>
      <c r="C15" s="111"/>
      <c r="D15" s="111"/>
      <c r="E15" s="111"/>
      <c r="F15" s="111"/>
      <c r="G15" s="111"/>
      <c r="H15" s="111"/>
      <c r="I15" s="111"/>
      <c r="J15" s="111"/>
      <c r="K15" s="113">
        <f t="shared" si="0"/>
        <v>0</v>
      </c>
      <c r="L15" s="112"/>
      <c r="M15" s="112"/>
      <c r="N15" s="112"/>
      <c r="O15" s="111"/>
      <c r="P15" s="111"/>
      <c r="Q15" s="111"/>
      <c r="R15" s="110">
        <f t="shared" si="1"/>
        <v>0</v>
      </c>
    </row>
    <row r="16" spans="1:18">
      <c r="A16" s="114"/>
      <c r="B16" s="111"/>
      <c r="C16" s="111"/>
      <c r="D16" s="111"/>
      <c r="E16" s="111"/>
      <c r="F16" s="111"/>
      <c r="G16" s="111"/>
      <c r="H16" s="111"/>
      <c r="I16" s="111"/>
      <c r="J16" s="111"/>
      <c r="K16" s="113">
        <f t="shared" si="0"/>
        <v>0</v>
      </c>
      <c r="L16" s="112"/>
      <c r="M16" s="112"/>
      <c r="N16" s="112"/>
      <c r="O16" s="111"/>
      <c r="P16" s="111"/>
      <c r="Q16" s="111"/>
      <c r="R16" s="110">
        <f t="shared" si="1"/>
        <v>0</v>
      </c>
    </row>
    <row r="17" spans="1:18">
      <c r="A17" s="114"/>
      <c r="B17" s="111"/>
      <c r="C17" s="111"/>
      <c r="D17" s="111"/>
      <c r="E17" s="111"/>
      <c r="F17" s="111"/>
      <c r="G17" s="111"/>
      <c r="H17" s="111"/>
      <c r="I17" s="111"/>
      <c r="J17" s="111"/>
      <c r="K17" s="113">
        <f t="shared" si="0"/>
        <v>0</v>
      </c>
      <c r="L17" s="112"/>
      <c r="M17" s="112"/>
      <c r="N17" s="112"/>
      <c r="O17" s="111"/>
      <c r="P17" s="111"/>
      <c r="Q17" s="111"/>
      <c r="R17" s="110">
        <f t="shared" si="1"/>
        <v>0</v>
      </c>
    </row>
    <row r="18" spans="1:18">
      <c r="A18" s="114"/>
      <c r="B18" s="111"/>
      <c r="C18" s="111"/>
      <c r="D18" s="111"/>
      <c r="E18" s="111"/>
      <c r="F18" s="111"/>
      <c r="G18" s="111"/>
      <c r="H18" s="111"/>
      <c r="I18" s="111"/>
      <c r="J18" s="111"/>
      <c r="K18" s="113">
        <f t="shared" si="0"/>
        <v>0</v>
      </c>
      <c r="L18" s="112"/>
      <c r="M18" s="112"/>
      <c r="N18" s="112"/>
      <c r="O18" s="111"/>
      <c r="P18" s="111"/>
      <c r="Q18" s="111"/>
      <c r="R18" s="110">
        <f t="shared" si="1"/>
        <v>0</v>
      </c>
    </row>
    <row r="19" spans="1:18">
      <c r="A19" s="114"/>
      <c r="B19" s="111"/>
      <c r="C19" s="111"/>
      <c r="D19" s="111"/>
      <c r="E19" s="111"/>
      <c r="F19" s="111"/>
      <c r="G19" s="111"/>
      <c r="H19" s="111"/>
      <c r="I19" s="111"/>
      <c r="J19" s="111"/>
      <c r="K19" s="113">
        <f t="shared" si="0"/>
        <v>0</v>
      </c>
      <c r="L19" s="112"/>
      <c r="M19" s="112"/>
      <c r="N19" s="112"/>
      <c r="O19" s="111"/>
      <c r="P19" s="111"/>
      <c r="Q19" s="111"/>
      <c r="R19" s="110">
        <f t="shared" si="1"/>
        <v>0</v>
      </c>
    </row>
    <row r="20" spans="1:18">
      <c r="A20" s="114"/>
      <c r="B20" s="111"/>
      <c r="C20" s="111"/>
      <c r="D20" s="111"/>
      <c r="E20" s="111"/>
      <c r="F20" s="111"/>
      <c r="G20" s="111"/>
      <c r="H20" s="111"/>
      <c r="I20" s="111"/>
      <c r="J20" s="111"/>
      <c r="K20" s="113">
        <f t="shared" si="0"/>
        <v>0</v>
      </c>
      <c r="L20" s="112"/>
      <c r="M20" s="112"/>
      <c r="N20" s="112"/>
      <c r="O20" s="111"/>
      <c r="P20" s="111"/>
      <c r="Q20" s="111"/>
      <c r="R20" s="110">
        <f t="shared" si="1"/>
        <v>0</v>
      </c>
    </row>
    <row r="21" spans="1:18">
      <c r="A21" s="114"/>
      <c r="B21" s="111"/>
      <c r="C21" s="111"/>
      <c r="D21" s="111"/>
      <c r="E21" s="111"/>
      <c r="F21" s="111"/>
      <c r="G21" s="111"/>
      <c r="H21" s="111"/>
      <c r="I21" s="111"/>
      <c r="J21" s="111"/>
      <c r="K21" s="113">
        <f t="shared" si="0"/>
        <v>0</v>
      </c>
      <c r="L21" s="112"/>
      <c r="M21" s="112"/>
      <c r="N21" s="112"/>
      <c r="O21" s="111"/>
      <c r="P21" s="111"/>
      <c r="Q21" s="111"/>
      <c r="R21" s="110">
        <f t="shared" si="1"/>
        <v>0</v>
      </c>
    </row>
    <row r="22" spans="1:18">
      <c r="A22" s="114"/>
      <c r="B22" s="111"/>
      <c r="C22" s="111"/>
      <c r="D22" s="111"/>
      <c r="E22" s="111"/>
      <c r="F22" s="111"/>
      <c r="G22" s="111"/>
      <c r="H22" s="111"/>
      <c r="I22" s="111"/>
      <c r="J22" s="111"/>
      <c r="K22" s="113">
        <f t="shared" si="0"/>
        <v>0</v>
      </c>
      <c r="L22" s="112"/>
      <c r="M22" s="112"/>
      <c r="N22" s="112"/>
      <c r="O22" s="111"/>
      <c r="P22" s="111"/>
      <c r="Q22" s="111"/>
      <c r="R22" s="110">
        <f t="shared" si="1"/>
        <v>0</v>
      </c>
    </row>
    <row r="23" spans="1:18">
      <c r="A23" s="114"/>
      <c r="B23" s="111"/>
      <c r="C23" s="111"/>
      <c r="D23" s="111"/>
      <c r="E23" s="111"/>
      <c r="F23" s="111"/>
      <c r="G23" s="111"/>
      <c r="H23" s="111"/>
      <c r="I23" s="111"/>
      <c r="J23" s="111"/>
      <c r="K23" s="113">
        <f t="shared" si="0"/>
        <v>0</v>
      </c>
      <c r="L23" s="112"/>
      <c r="M23" s="112"/>
      <c r="N23" s="112"/>
      <c r="O23" s="111"/>
      <c r="P23" s="111"/>
      <c r="Q23" s="111"/>
      <c r="R23" s="110">
        <f t="shared" si="1"/>
        <v>0</v>
      </c>
    </row>
    <row r="24" spans="1:18">
      <c r="A24" s="114"/>
      <c r="B24" s="111"/>
      <c r="C24" s="111"/>
      <c r="D24" s="111"/>
      <c r="E24" s="111"/>
      <c r="F24" s="111"/>
      <c r="G24" s="111"/>
      <c r="H24" s="111"/>
      <c r="I24" s="111"/>
      <c r="J24" s="111"/>
      <c r="K24" s="113">
        <f t="shared" si="0"/>
        <v>0</v>
      </c>
      <c r="L24" s="112"/>
      <c r="M24" s="112"/>
      <c r="N24" s="112"/>
      <c r="O24" s="111"/>
      <c r="P24" s="111"/>
      <c r="Q24" s="111"/>
      <c r="R24" s="110">
        <f t="shared" si="1"/>
        <v>0</v>
      </c>
    </row>
    <row r="25" spans="1:18">
      <c r="A25" s="114"/>
      <c r="B25" s="111"/>
      <c r="C25" s="111"/>
      <c r="D25" s="111"/>
      <c r="E25" s="111"/>
      <c r="F25" s="111"/>
      <c r="G25" s="111"/>
      <c r="H25" s="111"/>
      <c r="I25" s="111"/>
      <c r="J25" s="111"/>
      <c r="K25" s="113">
        <f t="shared" si="0"/>
        <v>0</v>
      </c>
      <c r="L25" s="112"/>
      <c r="M25" s="112"/>
      <c r="N25" s="112"/>
      <c r="O25" s="111"/>
      <c r="P25" s="111"/>
      <c r="Q25" s="111"/>
      <c r="R25" s="110">
        <f t="shared" si="1"/>
        <v>0</v>
      </c>
    </row>
    <row r="26" spans="1:18">
      <c r="A26" s="114"/>
      <c r="B26" s="111"/>
      <c r="C26" s="111"/>
      <c r="D26" s="111"/>
      <c r="E26" s="111"/>
      <c r="F26" s="111"/>
      <c r="G26" s="111"/>
      <c r="H26" s="111"/>
      <c r="I26" s="111"/>
      <c r="J26" s="111"/>
      <c r="K26" s="113">
        <f t="shared" si="0"/>
        <v>0</v>
      </c>
      <c r="L26" s="112"/>
      <c r="M26" s="112"/>
      <c r="N26" s="112"/>
      <c r="O26" s="111"/>
      <c r="P26" s="111"/>
      <c r="Q26" s="111"/>
      <c r="R26" s="110">
        <f t="shared" si="1"/>
        <v>0</v>
      </c>
    </row>
    <row r="27" spans="1:18">
      <c r="A27" s="114"/>
      <c r="B27" s="111"/>
      <c r="C27" s="111"/>
      <c r="D27" s="111"/>
      <c r="E27" s="111"/>
      <c r="F27" s="111"/>
      <c r="G27" s="111"/>
      <c r="H27" s="111"/>
      <c r="I27" s="111"/>
      <c r="J27" s="111"/>
      <c r="K27" s="113">
        <f t="shared" si="0"/>
        <v>0</v>
      </c>
      <c r="L27" s="112"/>
      <c r="M27" s="112"/>
      <c r="N27" s="112"/>
      <c r="O27" s="111"/>
      <c r="P27" s="111"/>
      <c r="Q27" s="111"/>
      <c r="R27" s="110">
        <f t="shared" si="1"/>
        <v>0</v>
      </c>
    </row>
    <row r="28" spans="1:18">
      <c r="A28" s="114"/>
      <c r="B28" s="111"/>
      <c r="C28" s="111"/>
      <c r="D28" s="111"/>
      <c r="E28" s="111"/>
      <c r="F28" s="111"/>
      <c r="G28" s="111"/>
      <c r="H28" s="111"/>
      <c r="I28" s="111"/>
      <c r="J28" s="111"/>
      <c r="K28" s="113">
        <f t="shared" si="0"/>
        <v>0</v>
      </c>
      <c r="L28" s="112"/>
      <c r="M28" s="112"/>
      <c r="N28" s="112"/>
      <c r="O28" s="111"/>
      <c r="P28" s="111"/>
      <c r="Q28" s="111"/>
      <c r="R28" s="110">
        <f t="shared" si="1"/>
        <v>0</v>
      </c>
    </row>
    <row r="29" spans="1:18">
      <c r="A29" s="114"/>
      <c r="B29" s="111"/>
      <c r="C29" s="111"/>
      <c r="D29" s="111"/>
      <c r="E29" s="111"/>
      <c r="F29" s="111"/>
      <c r="G29" s="111"/>
      <c r="H29" s="111"/>
      <c r="I29" s="111"/>
      <c r="J29" s="111"/>
      <c r="K29" s="113">
        <f t="shared" si="0"/>
        <v>0</v>
      </c>
      <c r="L29" s="112"/>
      <c r="M29" s="112"/>
      <c r="N29" s="112"/>
      <c r="O29" s="111"/>
      <c r="P29" s="111"/>
      <c r="Q29" s="111"/>
      <c r="R29" s="110">
        <f t="shared" si="1"/>
        <v>0</v>
      </c>
    </row>
    <row r="30" spans="1:18">
      <c r="A30" s="114"/>
      <c r="B30" s="111"/>
      <c r="C30" s="111"/>
      <c r="D30" s="111"/>
      <c r="E30" s="111"/>
      <c r="F30" s="111"/>
      <c r="G30" s="111"/>
      <c r="H30" s="111"/>
      <c r="I30" s="111"/>
      <c r="J30" s="111"/>
      <c r="K30" s="113">
        <f>+D29*G29*J29</f>
        <v>0</v>
      </c>
      <c r="L30" s="112"/>
      <c r="M30" s="112"/>
      <c r="N30" s="112"/>
      <c r="O30" s="111"/>
      <c r="P30" s="111"/>
      <c r="Q30" s="111"/>
      <c r="R30" s="110">
        <f t="shared" si="1"/>
        <v>0</v>
      </c>
    </row>
    <row r="31" spans="1:18" ht="12.75" thickBot="1">
      <c r="A31" s="109"/>
      <c r="B31" s="106"/>
      <c r="C31" s="106"/>
      <c r="D31" s="106"/>
      <c r="E31" s="106"/>
      <c r="F31" s="106"/>
      <c r="G31" s="106"/>
      <c r="H31" s="106"/>
      <c r="I31" s="106"/>
      <c r="J31" s="106"/>
      <c r="K31" s="108">
        <f>+D29*G29*J29</f>
        <v>0</v>
      </c>
      <c r="L31" s="107"/>
      <c r="M31" s="107"/>
      <c r="N31" s="107"/>
      <c r="O31" s="106"/>
      <c r="P31" s="106"/>
      <c r="Q31" s="106"/>
      <c r="R31" s="105">
        <f t="shared" si="1"/>
        <v>0</v>
      </c>
    </row>
    <row r="32" spans="1:18" ht="13.15">
      <c r="B32" s="104" t="s">
        <v>133</v>
      </c>
      <c r="C32" s="76"/>
      <c r="D32" s="76"/>
      <c r="E32" s="76"/>
      <c r="F32" s="104" t="s">
        <v>132</v>
      </c>
      <c r="G32" s="104"/>
      <c r="H32" s="76"/>
      <c r="I32" s="104" t="s">
        <v>131</v>
      </c>
      <c r="J32" s="74"/>
      <c r="K32" s="74"/>
      <c r="L32" s="103" t="s">
        <v>130</v>
      </c>
      <c r="M32" s="102" t="s">
        <v>129</v>
      </c>
      <c r="N32" s="69"/>
      <c r="O32" s="101" t="s">
        <v>128</v>
      </c>
      <c r="P32" s="69"/>
      <c r="Q32" s="68"/>
    </row>
    <row r="33" spans="2:17" ht="13.15">
      <c r="B33" s="90" t="s">
        <v>127</v>
      </c>
      <c r="C33" s="100" t="s">
        <v>126</v>
      </c>
      <c r="D33" s="99"/>
      <c r="E33" s="98"/>
      <c r="F33" s="75" t="s">
        <v>125</v>
      </c>
      <c r="G33" s="75"/>
      <c r="H33" s="76"/>
      <c r="I33" s="75" t="s">
        <v>124</v>
      </c>
      <c r="J33" s="74"/>
      <c r="K33" s="74"/>
      <c r="L33" s="97" t="s">
        <v>123</v>
      </c>
      <c r="M33" s="90" t="s">
        <v>122</v>
      </c>
      <c r="N33" s="69"/>
      <c r="O33" s="70"/>
      <c r="P33" s="69">
        <v>10</v>
      </c>
      <c r="Q33" s="68"/>
    </row>
    <row r="34" spans="2:17" ht="12.75">
      <c r="B34" s="84"/>
      <c r="C34" s="83" t="s">
        <v>121</v>
      </c>
      <c r="D34" s="82"/>
      <c r="E34" s="81"/>
      <c r="F34" s="75" t="s">
        <v>120</v>
      </c>
      <c r="G34" s="75"/>
      <c r="H34" s="76"/>
      <c r="I34" s="75" t="s">
        <v>119</v>
      </c>
      <c r="J34" s="74"/>
      <c r="K34" s="74"/>
      <c r="L34" s="94" t="s">
        <v>118</v>
      </c>
      <c r="M34" s="90" t="s">
        <v>117</v>
      </c>
      <c r="N34" s="69"/>
      <c r="O34" s="70"/>
      <c r="P34" s="69">
        <v>8</v>
      </c>
      <c r="Q34" s="68"/>
    </row>
    <row r="35" spans="2:17" ht="12.75">
      <c r="B35" s="96" t="s">
        <v>116</v>
      </c>
      <c r="C35" s="75" t="s">
        <v>115</v>
      </c>
      <c r="D35" s="76"/>
      <c r="E35" s="95"/>
      <c r="F35" s="75" t="s">
        <v>114</v>
      </c>
      <c r="G35" s="75"/>
      <c r="H35" s="76"/>
      <c r="I35" s="75" t="s">
        <v>113</v>
      </c>
      <c r="J35" s="74"/>
      <c r="K35" s="74"/>
      <c r="L35" s="94"/>
      <c r="M35" s="93" t="s">
        <v>112</v>
      </c>
      <c r="N35" s="89"/>
      <c r="O35" s="70"/>
      <c r="P35" s="69">
        <v>6</v>
      </c>
      <c r="Q35" s="68"/>
    </row>
    <row r="36" spans="2:17">
      <c r="B36" s="80"/>
      <c r="C36" s="79" t="s">
        <v>111</v>
      </c>
      <c r="D36" s="78"/>
      <c r="E36" s="77"/>
      <c r="F36" s="75" t="s">
        <v>110</v>
      </c>
      <c r="G36" s="92"/>
      <c r="H36" s="76"/>
      <c r="I36" s="92" t="s">
        <v>109</v>
      </c>
      <c r="J36" s="74"/>
      <c r="K36" s="74"/>
      <c r="L36" s="91"/>
      <c r="M36" s="90" t="s">
        <v>108</v>
      </c>
      <c r="N36" s="89"/>
      <c r="O36" s="70"/>
      <c r="P36" s="69">
        <v>4</v>
      </c>
      <c r="Q36" s="68"/>
    </row>
    <row r="37" spans="2:17">
      <c r="B37" s="84" t="s">
        <v>96</v>
      </c>
      <c r="C37" s="83" t="s">
        <v>107</v>
      </c>
      <c r="D37" s="82"/>
      <c r="E37" s="81"/>
      <c r="F37" s="75" t="s">
        <v>106</v>
      </c>
      <c r="G37" s="75"/>
      <c r="H37" s="76"/>
      <c r="I37" s="75" t="s">
        <v>105</v>
      </c>
      <c r="J37" s="74"/>
      <c r="K37" s="74"/>
      <c r="L37" s="88" t="s">
        <v>104</v>
      </c>
      <c r="M37" s="87" t="s">
        <v>103</v>
      </c>
      <c r="N37" s="86"/>
      <c r="O37" s="72"/>
      <c r="P37" s="86">
        <v>10</v>
      </c>
      <c r="Q37" s="85"/>
    </row>
    <row r="38" spans="2:17">
      <c r="B38" s="80" t="s">
        <v>102</v>
      </c>
      <c r="C38" s="79" t="s">
        <v>101</v>
      </c>
      <c r="D38" s="78"/>
      <c r="E38" s="77"/>
      <c r="F38" s="75" t="s">
        <v>100</v>
      </c>
      <c r="G38" s="75"/>
      <c r="H38" s="76"/>
      <c r="I38" s="75" t="s">
        <v>99</v>
      </c>
      <c r="J38" s="74"/>
      <c r="K38" s="74"/>
      <c r="L38" s="73" t="s">
        <v>98</v>
      </c>
      <c r="M38" s="71" t="s">
        <v>97</v>
      </c>
      <c r="N38" s="69"/>
      <c r="O38" s="70"/>
      <c r="P38" s="69">
        <v>9</v>
      </c>
      <c r="Q38" s="68"/>
    </row>
    <row r="39" spans="2:17">
      <c r="B39" s="84" t="s">
        <v>96</v>
      </c>
      <c r="C39" s="83" t="s">
        <v>95</v>
      </c>
      <c r="D39" s="82"/>
      <c r="E39" s="81"/>
      <c r="F39" s="75" t="s">
        <v>94</v>
      </c>
      <c r="G39" s="75"/>
      <c r="H39" s="76"/>
      <c r="I39" s="75" t="s">
        <v>93</v>
      </c>
      <c r="J39" s="74"/>
      <c r="K39" s="74"/>
      <c r="L39" s="73"/>
      <c r="M39" s="71" t="s">
        <v>92</v>
      </c>
      <c r="N39" s="69"/>
      <c r="O39" s="70"/>
      <c r="P39" s="69">
        <v>8</v>
      </c>
      <c r="Q39" s="68"/>
    </row>
    <row r="40" spans="2:17">
      <c r="B40" s="80" t="s">
        <v>91</v>
      </c>
      <c r="C40" s="79" t="s">
        <v>90</v>
      </c>
      <c r="D40" s="78"/>
      <c r="E40" s="77"/>
      <c r="F40" s="75" t="s">
        <v>89</v>
      </c>
      <c r="G40" s="75"/>
      <c r="H40" s="76"/>
      <c r="I40" s="75" t="s">
        <v>88</v>
      </c>
      <c r="J40" s="74"/>
      <c r="K40" s="74"/>
      <c r="L40" s="73"/>
      <c r="M40" s="71" t="s">
        <v>87</v>
      </c>
      <c r="N40" s="69"/>
      <c r="O40" s="70"/>
      <c r="P40" s="69">
        <v>7</v>
      </c>
      <c r="Q40" s="68"/>
    </row>
    <row r="41" spans="2:17">
      <c r="B41" s="84" t="s">
        <v>86</v>
      </c>
      <c r="C41" s="83" t="s">
        <v>85</v>
      </c>
      <c r="D41" s="82"/>
      <c r="E41" s="81"/>
      <c r="F41" s="75" t="s">
        <v>84</v>
      </c>
      <c r="G41" s="75"/>
      <c r="H41" s="76"/>
      <c r="I41" s="75" t="s">
        <v>83</v>
      </c>
      <c r="J41" s="74"/>
      <c r="K41" s="74"/>
      <c r="L41" s="73" t="s">
        <v>82</v>
      </c>
      <c r="M41" s="71" t="s">
        <v>81</v>
      </c>
      <c r="N41" s="69"/>
      <c r="O41" s="70"/>
      <c r="P41" s="69">
        <v>7</v>
      </c>
      <c r="Q41" s="68"/>
    </row>
    <row r="42" spans="2:17">
      <c r="B42" s="80" t="s">
        <v>80</v>
      </c>
      <c r="C42" s="79" t="s">
        <v>79</v>
      </c>
      <c r="D42" s="78"/>
      <c r="E42" s="77"/>
      <c r="F42" s="75" t="s">
        <v>78</v>
      </c>
      <c r="G42" s="75"/>
      <c r="H42" s="76"/>
      <c r="I42" s="75" t="s">
        <v>77</v>
      </c>
      <c r="J42" s="74"/>
      <c r="K42" s="74"/>
      <c r="L42" s="73"/>
      <c r="M42" s="71" t="s">
        <v>76</v>
      </c>
      <c r="N42" s="69"/>
      <c r="O42" s="70"/>
      <c r="P42" s="69">
        <v>7</v>
      </c>
      <c r="Q42" s="68"/>
    </row>
    <row r="43" spans="2:17">
      <c r="L43" s="73"/>
      <c r="M43" s="71" t="s">
        <v>75</v>
      </c>
      <c r="N43" s="69"/>
      <c r="O43" s="70"/>
      <c r="P43" s="69">
        <v>5</v>
      </c>
      <c r="Q43" s="68"/>
    </row>
    <row r="44" spans="2:17">
      <c r="L44" s="73"/>
      <c r="M44" s="71" t="s">
        <v>74</v>
      </c>
      <c r="N44" s="69"/>
      <c r="O44" s="70"/>
      <c r="P44" s="69">
        <v>4</v>
      </c>
      <c r="Q44" s="68"/>
    </row>
    <row r="45" spans="2:17">
      <c r="L45" s="72"/>
      <c r="M45" s="71" t="s">
        <v>73</v>
      </c>
      <c r="N45" s="69"/>
      <c r="O45" s="70"/>
      <c r="P45" s="69">
        <v>3</v>
      </c>
      <c r="Q45" s="68"/>
    </row>
  </sheetData>
  <printOptions horizontalCentered="1" verticalCentered="1"/>
  <pageMargins left="0.5" right="0.5" top="0.5" bottom="0.5" header="0.5" footer="0.5"/>
  <pageSetup scale="70" orientation="landscape" horizontalDpi="300" verticalDpi="300" r:id="rId1"/>
  <headerFooter alignWithMargins="0">
    <oddHeader>&amp;RPage &amp;P of &amp;N</oddHeader>
    <oddFooter>&amp;RRevision Code 0.0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A2A9-C4C9-42F6-A5F1-B6E06E2C4106}">
  <sheetPr codeName="Sheet1"/>
  <dimension ref="A1:M130"/>
  <sheetViews>
    <sheetView workbookViewId="0"/>
  </sheetViews>
  <sheetFormatPr defaultColWidth="10.1328125" defaultRowHeight="10.15"/>
  <cols>
    <col min="1" max="1" width="8.265625" style="200" customWidth="1"/>
    <col min="2" max="3" width="14.73046875" style="200" customWidth="1"/>
    <col min="4" max="4" width="3.59765625" style="200" customWidth="1"/>
    <col min="5" max="6" width="10.1328125" style="200" customWidth="1"/>
    <col min="7" max="7" width="6.73046875" style="200" customWidth="1"/>
    <col min="8" max="8" width="14.73046875" style="200" customWidth="1"/>
    <col min="9" max="9" width="11.73046875" style="200" customWidth="1"/>
    <col min="10" max="11" width="5.73046875" style="200" customWidth="1"/>
    <col min="12" max="16384" width="10.1328125" style="200"/>
  </cols>
  <sheetData>
    <row r="1" spans="1:13" ht="13.15" thickBot="1">
      <c r="A1" s="272"/>
      <c r="C1" s="270"/>
      <c r="D1" s="270"/>
      <c r="F1" s="271" t="s">
        <v>270</v>
      </c>
      <c r="G1" s="270"/>
      <c r="H1" s="270"/>
      <c r="I1" s="270"/>
      <c r="J1" s="252"/>
      <c r="L1" s="270"/>
      <c r="M1" s="203"/>
    </row>
    <row r="2" spans="1:13">
      <c r="A2" s="269"/>
      <c r="B2" s="268" t="s">
        <v>269</v>
      </c>
      <c r="C2" s="268" t="s">
        <v>268</v>
      </c>
      <c r="D2" s="268"/>
      <c r="E2" s="266" t="s">
        <v>267</v>
      </c>
      <c r="F2" s="265" t="s">
        <v>266</v>
      </c>
      <c r="G2" s="268"/>
      <c r="H2" s="268"/>
      <c r="I2" s="266"/>
      <c r="J2" s="267" t="s">
        <v>265</v>
      </c>
      <c r="K2" s="266"/>
      <c r="L2" s="265" t="s">
        <v>264</v>
      </c>
      <c r="M2" s="264"/>
    </row>
    <row r="3" spans="1:13" ht="12.75" customHeight="1">
      <c r="A3" s="263" t="s">
        <v>263</v>
      </c>
      <c r="B3" s="201"/>
      <c r="C3" s="262">
        <v>1</v>
      </c>
      <c r="D3" s="201"/>
      <c r="E3" s="261"/>
      <c r="F3" s="259"/>
      <c r="G3" s="201"/>
      <c r="H3" s="201"/>
      <c r="I3" s="261"/>
      <c r="J3" s="260"/>
      <c r="K3" s="201"/>
      <c r="L3" s="259"/>
      <c r="M3" s="258"/>
    </row>
    <row r="4" spans="1:13" s="252" customFormat="1" ht="20.100000000000001" customHeight="1">
      <c r="A4" s="257" t="s">
        <v>262</v>
      </c>
      <c r="B4" s="254"/>
      <c r="C4" s="254">
        <f>'[1]Common Data'!$B$3</f>
        <v>123</v>
      </c>
      <c r="D4" s="254"/>
      <c r="E4" s="256"/>
      <c r="F4" s="255" t="s">
        <v>233</v>
      </c>
      <c r="G4" s="254" t="str">
        <f>'[1]Common Data'!$B$8</f>
        <v>CoreTeam</v>
      </c>
      <c r="H4" s="254"/>
      <c r="I4" s="256"/>
      <c r="J4" s="255" t="s">
        <v>261</v>
      </c>
      <c r="K4" s="254"/>
      <c r="L4" s="254"/>
      <c r="M4" s="253"/>
    </row>
    <row r="5" spans="1:13" s="252" customFormat="1" ht="20.100000000000001" customHeight="1">
      <c r="A5" s="257" t="s">
        <v>260</v>
      </c>
      <c r="B5" s="254"/>
      <c r="C5" s="254" t="str">
        <f>'[1]Common Data'!$B$2</f>
        <v>PartName</v>
      </c>
      <c r="D5" s="254"/>
      <c r="E5" s="256"/>
      <c r="F5" s="255" t="s">
        <v>259</v>
      </c>
      <c r="G5" s="254"/>
      <c r="H5" s="254"/>
      <c r="I5" s="256"/>
      <c r="J5" s="255" t="s">
        <v>258</v>
      </c>
      <c r="K5" s="254"/>
      <c r="L5" s="254"/>
      <c r="M5" s="253"/>
    </row>
    <row r="6" spans="1:13" s="252" customFormat="1" ht="20.100000000000001" customHeight="1">
      <c r="A6" s="257" t="s">
        <v>257</v>
      </c>
      <c r="B6" s="254"/>
      <c r="C6" s="256" t="str">
        <f>'[1]Common Data'!$B$16</f>
        <v>CitySt</v>
      </c>
      <c r="D6" s="255" t="str">
        <f>"Supplier Code "&amp;'[1]Common Data'!$B$10</f>
        <v>Supplier Code 123</v>
      </c>
      <c r="E6" s="256"/>
      <c r="F6" s="255" t="s">
        <v>256</v>
      </c>
      <c r="G6" s="254"/>
      <c r="H6" s="254"/>
      <c r="I6" s="256"/>
      <c r="J6" s="255" t="s">
        <v>255</v>
      </c>
      <c r="K6" s="254"/>
      <c r="L6" s="254"/>
      <c r="M6" s="253"/>
    </row>
    <row r="7" spans="1:13">
      <c r="A7" s="251"/>
      <c r="B7" s="250"/>
      <c r="C7" s="250"/>
      <c r="D7" s="248" t="s">
        <v>254</v>
      </c>
      <c r="E7" s="247"/>
      <c r="F7" s="246"/>
      <c r="G7" s="249"/>
      <c r="H7" s="248" t="s">
        <v>253</v>
      </c>
      <c r="I7" s="247"/>
      <c r="J7" s="247"/>
      <c r="K7" s="247"/>
      <c r="L7" s="246"/>
      <c r="M7" s="245"/>
    </row>
    <row r="8" spans="1:13" s="238" customFormat="1" ht="30.4">
      <c r="A8" s="244" t="s">
        <v>252</v>
      </c>
      <c r="B8" s="243" t="s">
        <v>251</v>
      </c>
      <c r="C8" s="243" t="s">
        <v>250</v>
      </c>
      <c r="D8" s="240" t="s">
        <v>229</v>
      </c>
      <c r="E8" s="242" t="s">
        <v>249</v>
      </c>
      <c r="F8" s="242" t="s">
        <v>171</v>
      </c>
      <c r="G8" s="241" t="s">
        <v>248</v>
      </c>
      <c r="H8" s="240" t="s">
        <v>247</v>
      </c>
      <c r="I8" s="240" t="s">
        <v>246</v>
      </c>
      <c r="J8" s="240" t="s">
        <v>245</v>
      </c>
      <c r="K8" s="240" t="s">
        <v>244</v>
      </c>
      <c r="L8" s="240" t="s">
        <v>227</v>
      </c>
      <c r="M8" s="239" t="s">
        <v>243</v>
      </c>
    </row>
    <row r="9" spans="1:13">
      <c r="A9" s="237">
        <f>IF('[1]Characteristics List'!$A10="","",'[1]Characteristics List'!$A10)</f>
        <v>1</v>
      </c>
      <c r="B9" s="236" t="str">
        <f>IF('[1]Characteristics List'!$B10="","",'[1]Characteristics List'!$B10)</f>
        <v/>
      </c>
      <c r="C9" s="236" t="str">
        <f>IF('[1]Characteristics List'!$E10="","",'[1]Characteristics List'!$E10)</f>
        <v/>
      </c>
      <c r="D9" s="236">
        <f>IF('[1]Characteristics List'!$A10="","",'[1]Characteristics List'!$A10)</f>
        <v>1</v>
      </c>
      <c r="E9" s="236"/>
      <c r="F9" s="236"/>
      <c r="G9" s="236"/>
      <c r="H9" s="236" t="str">
        <f>IF('[1]Characteristics List'!$C10="","",'[1]Characteristics List'!$C10)</f>
        <v>0.603-0.625 inches</v>
      </c>
      <c r="I9" s="236"/>
      <c r="J9" s="236"/>
      <c r="K9" s="236"/>
      <c r="L9" s="236"/>
      <c r="M9" s="235"/>
    </row>
    <row r="10" spans="1:13">
      <c r="A10" s="237">
        <f>IF('[1]Characteristics List'!$A11="","",'[1]Characteristics List'!$A11)</f>
        <v>2</v>
      </c>
      <c r="B10" s="236" t="str">
        <f>IF('[1]Characteristics List'!$B11="","",'[1]Characteristics List'!$B11)</f>
        <v/>
      </c>
      <c r="C10" s="236" t="str">
        <f>IF('[1]Characteristics List'!$E11="","",'[1]Characteristics List'!$E11)</f>
        <v/>
      </c>
      <c r="D10" s="236">
        <f>IF('[1]Characteristics List'!$A11="","",'[1]Characteristics List'!$A11)</f>
        <v>2</v>
      </c>
      <c r="E10" s="236"/>
      <c r="F10" s="236"/>
      <c r="G10" s="236"/>
      <c r="H10" s="236" t="str">
        <f>IF('[1]Characteristics List'!$C11="","",'[1]Characteristics List'!$C11)</f>
        <v/>
      </c>
      <c r="I10" s="236"/>
      <c r="J10" s="236"/>
      <c r="K10" s="236"/>
      <c r="L10" s="236"/>
      <c r="M10" s="235"/>
    </row>
    <row r="11" spans="1:13">
      <c r="A11" s="237">
        <f>IF('[1]Characteristics List'!$A12="","",'[1]Characteristics List'!$A12)</f>
        <v>3</v>
      </c>
      <c r="B11" s="236" t="str">
        <f>IF('[1]Characteristics List'!$B12="","",'[1]Characteristics List'!$B12)</f>
        <v/>
      </c>
      <c r="C11" s="236" t="str">
        <f>IF('[1]Characteristics List'!$E12="","",'[1]Characteristics List'!$E12)</f>
        <v/>
      </c>
      <c r="D11" s="236">
        <f>IF('[1]Characteristics List'!$A12="","",'[1]Characteristics List'!$A12)</f>
        <v>3</v>
      </c>
      <c r="E11" s="236"/>
      <c r="F11" s="236"/>
      <c r="G11" s="236"/>
      <c r="H11" s="236" t="str">
        <f>IF('[1]Characteristics List'!$C12="","",'[1]Characteristics List'!$C12)</f>
        <v/>
      </c>
      <c r="I11" s="236"/>
      <c r="J11" s="236"/>
      <c r="K11" s="236"/>
      <c r="L11" s="236"/>
      <c r="M11" s="235"/>
    </row>
    <row r="12" spans="1:13">
      <c r="A12" s="237">
        <f>IF('[1]Characteristics List'!$A13="","",'[1]Characteristics List'!$A13)</f>
        <v>4</v>
      </c>
      <c r="B12" s="236" t="str">
        <f>IF('[1]Characteristics List'!$B13="","",'[1]Characteristics List'!$B13)</f>
        <v/>
      </c>
      <c r="C12" s="236" t="str">
        <f>IF('[1]Characteristics List'!$E13="","",'[1]Characteristics List'!$E13)</f>
        <v/>
      </c>
      <c r="D12" s="236">
        <f>IF('[1]Characteristics List'!$A13="","",'[1]Characteristics List'!$A13)</f>
        <v>4</v>
      </c>
      <c r="E12" s="236"/>
      <c r="F12" s="236"/>
      <c r="G12" s="236"/>
      <c r="H12" s="236" t="str">
        <f>IF('[1]Characteristics List'!$C13="","",'[1]Characteristics List'!$C13)</f>
        <v/>
      </c>
      <c r="I12" s="236"/>
      <c r="J12" s="236"/>
      <c r="K12" s="236"/>
      <c r="L12" s="236"/>
      <c r="M12" s="235"/>
    </row>
    <row r="13" spans="1:13">
      <c r="A13" s="237">
        <f>IF('[1]Characteristics List'!$A14="","",'[1]Characteristics List'!$A14)</f>
        <v>5</v>
      </c>
      <c r="B13" s="236" t="str">
        <f>IF('[1]Characteristics List'!$B14="","",'[1]Characteristics List'!$B14)</f>
        <v/>
      </c>
      <c r="C13" s="236" t="str">
        <f>IF('[1]Characteristics List'!$E14="","",'[1]Characteristics List'!$E14)</f>
        <v/>
      </c>
      <c r="D13" s="236">
        <f>IF('[1]Characteristics List'!$A14="","",'[1]Characteristics List'!$A14)</f>
        <v>5</v>
      </c>
      <c r="E13" s="236"/>
      <c r="F13" s="236"/>
      <c r="G13" s="236"/>
      <c r="H13" s="236" t="str">
        <f>IF('[1]Characteristics List'!$C14="","",'[1]Characteristics List'!$C14)</f>
        <v/>
      </c>
      <c r="I13" s="236"/>
      <c r="J13" s="236"/>
      <c r="K13" s="236"/>
      <c r="L13" s="236"/>
      <c r="M13" s="235"/>
    </row>
    <row r="14" spans="1:13">
      <c r="A14" s="237">
        <f>IF('[1]Characteristics List'!$A15="","",'[1]Characteristics List'!$A15)</f>
        <v>6</v>
      </c>
      <c r="B14" s="236" t="str">
        <f>IF('[1]Characteristics List'!$B15="","",'[1]Characteristics List'!$B15)</f>
        <v/>
      </c>
      <c r="C14" s="236" t="str">
        <f>IF('[1]Characteristics List'!$E15="","",'[1]Characteristics List'!$E15)</f>
        <v/>
      </c>
      <c r="D14" s="236">
        <f>IF('[1]Characteristics List'!$A15="","",'[1]Characteristics List'!$A15)</f>
        <v>6</v>
      </c>
      <c r="E14" s="236"/>
      <c r="F14" s="236"/>
      <c r="G14" s="236"/>
      <c r="H14" s="236" t="str">
        <f>IF('[1]Characteristics List'!$C15="","",'[1]Characteristics List'!$C15)</f>
        <v/>
      </c>
      <c r="I14" s="236"/>
      <c r="J14" s="236"/>
      <c r="K14" s="236"/>
      <c r="L14" s="236"/>
      <c r="M14" s="235"/>
    </row>
    <row r="15" spans="1:13">
      <c r="A15" s="237">
        <f>IF('[1]Characteristics List'!$A16="","",'[1]Characteristics List'!$A16)</f>
        <v>7</v>
      </c>
      <c r="B15" s="236" t="str">
        <f>IF('[1]Characteristics List'!$B16="","",'[1]Characteristics List'!$B16)</f>
        <v/>
      </c>
      <c r="C15" s="236" t="str">
        <f>IF('[1]Characteristics List'!$E16="","",'[1]Characteristics List'!$E16)</f>
        <v/>
      </c>
      <c r="D15" s="236">
        <f>IF('[1]Characteristics List'!$A16="","",'[1]Characteristics List'!$A16)</f>
        <v>7</v>
      </c>
      <c r="E15" s="236"/>
      <c r="F15" s="236"/>
      <c r="G15" s="236"/>
      <c r="H15" s="236" t="str">
        <f>IF('[1]Characteristics List'!$C16="","",'[1]Characteristics List'!$C16)</f>
        <v/>
      </c>
      <c r="I15" s="236"/>
      <c r="J15" s="236"/>
      <c r="K15" s="236"/>
      <c r="L15" s="236"/>
      <c r="M15" s="235"/>
    </row>
    <row r="16" spans="1:13">
      <c r="A16" s="237">
        <f>IF('[1]Characteristics List'!$A17="","",'[1]Characteristics List'!$A17)</f>
        <v>8</v>
      </c>
      <c r="B16" s="236" t="str">
        <f>IF('[1]Characteristics List'!$B17="","",'[1]Characteristics List'!$B17)</f>
        <v/>
      </c>
      <c r="C16" s="236" t="str">
        <f>IF('[1]Characteristics List'!$E17="","",'[1]Characteristics List'!$E17)</f>
        <v/>
      </c>
      <c r="D16" s="236">
        <f>IF('[1]Characteristics List'!$A17="","",'[1]Characteristics List'!$A17)</f>
        <v>8</v>
      </c>
      <c r="E16" s="236"/>
      <c r="F16" s="236"/>
      <c r="G16" s="236"/>
      <c r="H16" s="236" t="str">
        <f>IF('[1]Characteristics List'!$C17="","",'[1]Characteristics List'!$C17)</f>
        <v/>
      </c>
      <c r="I16" s="236"/>
      <c r="J16" s="236"/>
      <c r="K16" s="236"/>
      <c r="L16" s="236"/>
      <c r="M16" s="235"/>
    </row>
    <row r="17" spans="1:13">
      <c r="A17" s="237">
        <f>IF('[1]Characteristics List'!$A18="","",'[1]Characteristics List'!$A18)</f>
        <v>9</v>
      </c>
      <c r="B17" s="236" t="str">
        <f>IF('[1]Characteristics List'!$B18="","",'[1]Characteristics List'!$B18)</f>
        <v/>
      </c>
      <c r="C17" s="236" t="str">
        <f>IF('[1]Characteristics List'!$E18="","",'[1]Characteristics List'!$E18)</f>
        <v/>
      </c>
      <c r="D17" s="236">
        <f>IF('[1]Characteristics List'!$A18="","",'[1]Characteristics List'!$A18)</f>
        <v>9</v>
      </c>
      <c r="E17" s="236"/>
      <c r="F17" s="236"/>
      <c r="G17" s="236"/>
      <c r="H17" s="236" t="str">
        <f>IF('[1]Characteristics List'!$C18="","",'[1]Characteristics List'!$C18)</f>
        <v/>
      </c>
      <c r="I17" s="236"/>
      <c r="J17" s="236"/>
      <c r="K17" s="236"/>
      <c r="L17" s="236"/>
      <c r="M17" s="235"/>
    </row>
    <row r="18" spans="1:13">
      <c r="A18" s="237">
        <f>IF('[1]Characteristics List'!$A19="","",'[1]Characteristics List'!$A19)</f>
        <v>10</v>
      </c>
      <c r="B18" s="236" t="str">
        <f>IF('[1]Characteristics List'!$B19="","",'[1]Characteristics List'!$B19)</f>
        <v/>
      </c>
      <c r="C18" s="236" t="str">
        <f>IF('[1]Characteristics List'!$E19="","",'[1]Characteristics List'!$E19)</f>
        <v/>
      </c>
      <c r="D18" s="236">
        <f>IF('[1]Characteristics List'!$A19="","",'[1]Characteristics List'!$A19)</f>
        <v>10</v>
      </c>
      <c r="E18" s="236"/>
      <c r="F18" s="236"/>
      <c r="G18" s="236"/>
      <c r="H18" s="236" t="str">
        <f>IF('[1]Characteristics List'!$C19="","",'[1]Characteristics List'!$C19)</f>
        <v/>
      </c>
      <c r="I18" s="236"/>
      <c r="J18" s="236"/>
      <c r="K18" s="236"/>
      <c r="L18" s="236"/>
      <c r="M18" s="235"/>
    </row>
    <row r="19" spans="1:13">
      <c r="A19" s="237">
        <f>IF('[1]Characteristics List'!$A20="","",'[1]Characteristics List'!$A20)</f>
        <v>11</v>
      </c>
      <c r="B19" s="236" t="str">
        <f>IF('[1]Characteristics List'!$B20="","",'[1]Characteristics List'!$B20)</f>
        <v/>
      </c>
      <c r="C19" s="236" t="str">
        <f>IF('[1]Characteristics List'!$E20="","",'[1]Characteristics List'!$E20)</f>
        <v/>
      </c>
      <c r="D19" s="236">
        <f>IF('[1]Characteristics List'!$A20="","",'[1]Characteristics List'!$A20)</f>
        <v>11</v>
      </c>
      <c r="E19" s="236"/>
      <c r="F19" s="236"/>
      <c r="G19" s="236"/>
      <c r="H19" s="236" t="str">
        <f>IF('[1]Characteristics List'!$C20="","",'[1]Characteristics List'!$C20)</f>
        <v/>
      </c>
      <c r="I19" s="236"/>
      <c r="J19" s="236"/>
      <c r="K19" s="236"/>
      <c r="L19" s="236"/>
      <c r="M19" s="235"/>
    </row>
    <row r="20" spans="1:13">
      <c r="A20" s="237">
        <f>IF('[1]Characteristics List'!$A21="","",'[1]Characteristics List'!$A21)</f>
        <v>12</v>
      </c>
      <c r="B20" s="236" t="str">
        <f>IF('[1]Characteristics List'!$B21="","",'[1]Characteristics List'!$B21)</f>
        <v/>
      </c>
      <c r="C20" s="236" t="str">
        <f>IF('[1]Characteristics List'!$E21="","",'[1]Characteristics List'!$E21)</f>
        <v/>
      </c>
      <c r="D20" s="236">
        <f>IF('[1]Characteristics List'!$A21="","",'[1]Characteristics List'!$A21)</f>
        <v>12</v>
      </c>
      <c r="E20" s="236"/>
      <c r="F20" s="236"/>
      <c r="G20" s="236"/>
      <c r="H20" s="236" t="str">
        <f>IF('[1]Characteristics List'!$C21="","",'[1]Characteristics List'!$C21)</f>
        <v/>
      </c>
      <c r="I20" s="236"/>
      <c r="J20" s="236"/>
      <c r="K20" s="236"/>
      <c r="L20" s="236"/>
      <c r="M20" s="235"/>
    </row>
    <row r="21" spans="1:13">
      <c r="A21" s="237">
        <f>IF('[1]Characteristics List'!$A22="","",'[1]Characteristics List'!$A22)</f>
        <v>13</v>
      </c>
      <c r="B21" s="236" t="str">
        <f>IF('[1]Characteristics List'!$B22="","",'[1]Characteristics List'!$B22)</f>
        <v/>
      </c>
      <c r="C21" s="236" t="str">
        <f>IF('[1]Characteristics List'!$E22="","",'[1]Characteristics List'!$E22)</f>
        <v/>
      </c>
      <c r="D21" s="236">
        <f>IF('[1]Characteristics List'!$A22="","",'[1]Characteristics List'!$A22)</f>
        <v>13</v>
      </c>
      <c r="E21" s="236"/>
      <c r="F21" s="236"/>
      <c r="G21" s="236"/>
      <c r="H21" s="236" t="str">
        <f>IF('[1]Characteristics List'!$C22="","",'[1]Characteristics List'!$C22)</f>
        <v/>
      </c>
      <c r="I21" s="236"/>
      <c r="J21" s="236"/>
      <c r="K21" s="236"/>
      <c r="L21" s="236"/>
      <c r="M21" s="235"/>
    </row>
    <row r="22" spans="1:13">
      <c r="A22" s="237">
        <f>IF('[1]Characteristics List'!$A23="","",'[1]Characteristics List'!$A23)</f>
        <v>14</v>
      </c>
      <c r="B22" s="236" t="str">
        <f>IF('[1]Characteristics List'!$B23="","",'[1]Characteristics List'!$B23)</f>
        <v/>
      </c>
      <c r="C22" s="236" t="str">
        <f>IF('[1]Characteristics List'!$E23="","",'[1]Characteristics List'!$E23)</f>
        <v/>
      </c>
      <c r="D22" s="236">
        <f>IF('[1]Characteristics List'!$A23="","",'[1]Characteristics List'!$A23)</f>
        <v>14</v>
      </c>
      <c r="E22" s="236"/>
      <c r="F22" s="236"/>
      <c r="G22" s="236"/>
      <c r="H22" s="236" t="str">
        <f>IF('[1]Characteristics List'!$C23="","",'[1]Characteristics List'!$C23)</f>
        <v/>
      </c>
      <c r="I22" s="236"/>
      <c r="J22" s="236"/>
      <c r="K22" s="236"/>
      <c r="L22" s="236"/>
      <c r="M22" s="235"/>
    </row>
    <row r="23" spans="1:13">
      <c r="A23" s="237">
        <f>IF('[1]Characteristics List'!$A24="","",'[1]Characteristics List'!$A24)</f>
        <v>15</v>
      </c>
      <c r="B23" s="236" t="str">
        <f>IF('[1]Characteristics List'!$B24="","",'[1]Characteristics List'!$B24)</f>
        <v/>
      </c>
      <c r="C23" s="236" t="str">
        <f>IF('[1]Characteristics List'!$E24="","",'[1]Characteristics List'!$E24)</f>
        <v/>
      </c>
      <c r="D23" s="236">
        <f>IF('[1]Characteristics List'!$A24="","",'[1]Characteristics List'!$A24)</f>
        <v>15</v>
      </c>
      <c r="E23" s="236"/>
      <c r="F23" s="236"/>
      <c r="G23" s="236"/>
      <c r="H23" s="236" t="str">
        <f>IF('[1]Characteristics List'!$C24="","",'[1]Characteristics List'!$C24)</f>
        <v/>
      </c>
      <c r="I23" s="236"/>
      <c r="J23" s="236"/>
      <c r="K23" s="236"/>
      <c r="L23" s="236"/>
      <c r="M23" s="235"/>
    </row>
    <row r="24" spans="1:13">
      <c r="A24" s="237">
        <f>IF('[1]Characteristics List'!$A25="","",'[1]Characteristics List'!$A25)</f>
        <v>16</v>
      </c>
      <c r="B24" s="236" t="str">
        <f>IF('[1]Characteristics List'!$B25="","",'[1]Characteristics List'!$B25)</f>
        <v/>
      </c>
      <c r="C24" s="236" t="str">
        <f>IF('[1]Characteristics List'!$E25="","",'[1]Characteristics List'!$E25)</f>
        <v/>
      </c>
      <c r="D24" s="236">
        <f>IF('[1]Characteristics List'!$A25="","",'[1]Characteristics List'!$A25)</f>
        <v>16</v>
      </c>
      <c r="E24" s="236"/>
      <c r="F24" s="236"/>
      <c r="G24" s="236"/>
      <c r="H24" s="236" t="str">
        <f>IF('[1]Characteristics List'!$C25="","",'[1]Characteristics List'!$C25)</f>
        <v/>
      </c>
      <c r="I24" s="236"/>
      <c r="J24" s="236"/>
      <c r="K24" s="236"/>
      <c r="L24" s="236"/>
      <c r="M24" s="235"/>
    </row>
    <row r="25" spans="1:13">
      <c r="A25" s="237">
        <f>IF('[1]Characteristics List'!$A26="","",'[1]Characteristics List'!$A26)</f>
        <v>17</v>
      </c>
      <c r="B25" s="236" t="str">
        <f>IF('[1]Characteristics List'!$B26="","",'[1]Characteristics List'!$B26)</f>
        <v/>
      </c>
      <c r="C25" s="236" t="str">
        <f>IF('[1]Characteristics List'!$E26="","",'[1]Characteristics List'!$E26)</f>
        <v/>
      </c>
      <c r="D25" s="236">
        <f>IF('[1]Characteristics List'!$A26="","",'[1]Characteristics List'!$A26)</f>
        <v>17</v>
      </c>
      <c r="E25" s="236"/>
      <c r="F25" s="236"/>
      <c r="G25" s="236"/>
      <c r="H25" s="236" t="str">
        <f>IF('[1]Characteristics List'!$C26="","",'[1]Characteristics List'!$C26)</f>
        <v/>
      </c>
      <c r="I25" s="236"/>
      <c r="J25" s="236"/>
      <c r="K25" s="236"/>
      <c r="L25" s="236"/>
      <c r="M25" s="235"/>
    </row>
    <row r="26" spans="1:13">
      <c r="A26" s="237">
        <f>IF('[1]Characteristics List'!$A27="","",'[1]Characteristics List'!$A27)</f>
        <v>18</v>
      </c>
      <c r="B26" s="236" t="str">
        <f>IF('[1]Characteristics List'!$B27="","",'[1]Characteristics List'!$B27)</f>
        <v/>
      </c>
      <c r="C26" s="236" t="str">
        <f>IF('[1]Characteristics List'!$E27="","",'[1]Characteristics List'!$E27)</f>
        <v/>
      </c>
      <c r="D26" s="236">
        <f>IF('[1]Characteristics List'!$A27="","",'[1]Characteristics List'!$A27)</f>
        <v>18</v>
      </c>
      <c r="E26" s="236"/>
      <c r="F26" s="236"/>
      <c r="G26" s="236"/>
      <c r="H26" s="236" t="str">
        <f>IF('[1]Characteristics List'!$C27="","",'[1]Characteristics List'!$C27)</f>
        <v/>
      </c>
      <c r="I26" s="236"/>
      <c r="J26" s="236"/>
      <c r="K26" s="236"/>
      <c r="L26" s="236"/>
      <c r="M26" s="235"/>
    </row>
    <row r="27" spans="1:13">
      <c r="A27" s="237">
        <f>IF('[1]Characteristics List'!$A28="","",'[1]Characteristics List'!$A28)</f>
        <v>19</v>
      </c>
      <c r="B27" s="236" t="str">
        <f>IF('[1]Characteristics List'!$B28="","",'[1]Characteristics List'!$B28)</f>
        <v/>
      </c>
      <c r="C27" s="236" t="str">
        <f>IF('[1]Characteristics List'!$E28="","",'[1]Characteristics List'!$E28)</f>
        <v/>
      </c>
      <c r="D27" s="236">
        <f>IF('[1]Characteristics List'!$A28="","",'[1]Characteristics List'!$A28)</f>
        <v>19</v>
      </c>
      <c r="E27" s="236"/>
      <c r="F27" s="236"/>
      <c r="G27" s="236"/>
      <c r="H27" s="236" t="str">
        <f>IF('[1]Characteristics List'!$C28="","",'[1]Characteristics List'!$C28)</f>
        <v/>
      </c>
      <c r="I27" s="236"/>
      <c r="J27" s="236"/>
      <c r="K27" s="236"/>
      <c r="L27" s="236"/>
      <c r="M27" s="235"/>
    </row>
    <row r="28" spans="1:13">
      <c r="A28" s="237">
        <f>IF('[1]Characteristics List'!$A29="","",'[1]Characteristics List'!$A29)</f>
        <v>20</v>
      </c>
      <c r="B28" s="236" t="str">
        <f>IF('[1]Characteristics List'!$B29="","",'[1]Characteristics List'!$B29)</f>
        <v/>
      </c>
      <c r="C28" s="236" t="str">
        <f>IF('[1]Characteristics List'!$E29="","",'[1]Characteristics List'!$E29)</f>
        <v/>
      </c>
      <c r="D28" s="236">
        <f>IF('[1]Characteristics List'!$A29="","",'[1]Characteristics List'!$A29)</f>
        <v>20</v>
      </c>
      <c r="E28" s="236"/>
      <c r="F28" s="236"/>
      <c r="G28" s="236"/>
      <c r="H28" s="236" t="str">
        <f>IF('[1]Characteristics List'!$C29="","",'[1]Characteristics List'!$C29)</f>
        <v/>
      </c>
      <c r="I28" s="236"/>
      <c r="J28" s="236"/>
      <c r="K28" s="236"/>
      <c r="L28" s="236"/>
      <c r="M28" s="235"/>
    </row>
    <row r="29" spans="1:13">
      <c r="A29" s="237">
        <f>IF('[1]Characteristics List'!$A30="","",'[1]Characteristics List'!$A30)</f>
        <v>21</v>
      </c>
      <c r="B29" s="236" t="str">
        <f>IF('[1]Characteristics List'!$B30="","",'[1]Characteristics List'!$B30)</f>
        <v/>
      </c>
      <c r="C29" s="236" t="str">
        <f>IF('[1]Characteristics List'!$E30="","",'[1]Characteristics List'!$E30)</f>
        <v/>
      </c>
      <c r="D29" s="236">
        <f>IF('[1]Characteristics List'!$A30="","",'[1]Characteristics List'!$A30)</f>
        <v>21</v>
      </c>
      <c r="E29" s="236"/>
      <c r="F29" s="236"/>
      <c r="G29" s="236"/>
      <c r="H29" s="236" t="str">
        <f>IF('[1]Characteristics List'!$C30="","",'[1]Characteristics List'!$C30)</f>
        <v/>
      </c>
      <c r="I29" s="236"/>
      <c r="J29" s="236"/>
      <c r="K29" s="236"/>
      <c r="L29" s="236"/>
      <c r="M29" s="235"/>
    </row>
    <row r="30" spans="1:13">
      <c r="A30" s="237">
        <f>IF('[1]Characteristics List'!$A31="","",'[1]Characteristics List'!$A31)</f>
        <v>22</v>
      </c>
      <c r="B30" s="236" t="str">
        <f>IF('[1]Characteristics List'!$B31="","",'[1]Characteristics List'!$B31)</f>
        <v/>
      </c>
      <c r="C30" s="236" t="str">
        <f>IF('[1]Characteristics List'!$E31="","",'[1]Characteristics List'!$E31)</f>
        <v/>
      </c>
      <c r="D30" s="236">
        <f>IF('[1]Characteristics List'!$A31="","",'[1]Characteristics List'!$A31)</f>
        <v>22</v>
      </c>
      <c r="E30" s="236"/>
      <c r="F30" s="236"/>
      <c r="G30" s="236"/>
      <c r="H30" s="236" t="str">
        <f>IF('[1]Characteristics List'!$C31="","",'[1]Characteristics List'!$C31)</f>
        <v/>
      </c>
      <c r="I30" s="236"/>
      <c r="J30" s="236"/>
      <c r="K30" s="236"/>
      <c r="L30" s="236"/>
      <c r="M30" s="235"/>
    </row>
    <row r="31" spans="1:13">
      <c r="A31" s="237">
        <f>IF('[1]Characteristics List'!$A32="","",'[1]Characteristics List'!$A32)</f>
        <v>23</v>
      </c>
      <c r="B31" s="236" t="str">
        <f>IF('[1]Characteristics List'!$B32="","",'[1]Characteristics List'!$B32)</f>
        <v/>
      </c>
      <c r="C31" s="236" t="str">
        <f>IF('[1]Characteristics List'!$E32="","",'[1]Characteristics List'!$E32)</f>
        <v/>
      </c>
      <c r="D31" s="236">
        <f>IF('[1]Characteristics List'!$A32="","",'[1]Characteristics List'!$A32)</f>
        <v>23</v>
      </c>
      <c r="E31" s="236"/>
      <c r="F31" s="236"/>
      <c r="G31" s="236"/>
      <c r="H31" s="236" t="str">
        <f>IF('[1]Characteristics List'!$C32="","",'[1]Characteristics List'!$C32)</f>
        <v/>
      </c>
      <c r="I31" s="236"/>
      <c r="J31" s="236"/>
      <c r="K31" s="236"/>
      <c r="L31" s="236"/>
      <c r="M31" s="235"/>
    </row>
    <row r="32" spans="1:13">
      <c r="A32" s="237">
        <f>IF('[1]Characteristics List'!$A33="","",'[1]Characteristics List'!$A33)</f>
        <v>24</v>
      </c>
      <c r="B32" s="236" t="str">
        <f>IF('[1]Characteristics List'!$B33="","",'[1]Characteristics List'!$B33)</f>
        <v/>
      </c>
      <c r="C32" s="236" t="str">
        <f>IF('[1]Characteristics List'!$E33="","",'[1]Characteristics List'!$E33)</f>
        <v/>
      </c>
      <c r="D32" s="236">
        <f>IF('[1]Characteristics List'!$A33="","",'[1]Characteristics List'!$A33)</f>
        <v>24</v>
      </c>
      <c r="E32" s="236"/>
      <c r="F32" s="236"/>
      <c r="G32" s="236"/>
      <c r="H32" s="236" t="str">
        <f>IF('[1]Characteristics List'!$C33="","",'[1]Characteristics List'!$C33)</f>
        <v/>
      </c>
      <c r="I32" s="236"/>
      <c r="J32" s="236"/>
      <c r="K32" s="236"/>
      <c r="L32" s="236"/>
      <c r="M32" s="235"/>
    </row>
    <row r="33" spans="1:13">
      <c r="A33" s="237">
        <f>IF('[1]Characteristics List'!$A34="","",'[1]Characteristics List'!$A34)</f>
        <v>25</v>
      </c>
      <c r="B33" s="236" t="str">
        <f>IF('[1]Characteristics List'!$B34="","",'[1]Characteristics List'!$B34)</f>
        <v/>
      </c>
      <c r="C33" s="236" t="str">
        <f>IF('[1]Characteristics List'!$E34="","",'[1]Characteristics List'!$E34)</f>
        <v/>
      </c>
      <c r="D33" s="236">
        <f>IF('[1]Characteristics List'!$A34="","",'[1]Characteristics List'!$A34)</f>
        <v>25</v>
      </c>
      <c r="E33" s="236"/>
      <c r="F33" s="236"/>
      <c r="G33" s="236"/>
      <c r="H33" s="236" t="str">
        <f>IF('[1]Characteristics List'!$C34="","",'[1]Characteristics List'!$C34)</f>
        <v/>
      </c>
      <c r="I33" s="236"/>
      <c r="J33" s="236"/>
      <c r="K33" s="236"/>
      <c r="L33" s="236"/>
      <c r="M33" s="235"/>
    </row>
    <row r="34" spans="1:13">
      <c r="A34" s="237">
        <f>IF('[1]Characteristics List'!$A35="","",'[1]Characteristics List'!$A35)</f>
        <v>26</v>
      </c>
      <c r="B34" s="236" t="str">
        <f>IF('[1]Characteristics List'!$B35="","",'[1]Characteristics List'!$B35)</f>
        <v/>
      </c>
      <c r="C34" s="236" t="str">
        <f>IF('[1]Characteristics List'!$E35="","",'[1]Characteristics List'!$E35)</f>
        <v/>
      </c>
      <c r="D34" s="236">
        <f>IF('[1]Characteristics List'!$A35="","",'[1]Characteristics List'!$A35)</f>
        <v>26</v>
      </c>
      <c r="E34" s="236"/>
      <c r="F34" s="236"/>
      <c r="G34" s="236"/>
      <c r="H34" s="236" t="str">
        <f>IF('[1]Characteristics List'!$C35="","",'[1]Characteristics List'!$C35)</f>
        <v/>
      </c>
      <c r="I34" s="236"/>
      <c r="J34" s="236"/>
      <c r="K34" s="236"/>
      <c r="L34" s="236"/>
      <c r="M34" s="235"/>
    </row>
    <row r="35" spans="1:13">
      <c r="A35" s="237">
        <f>IF('[1]Characteristics List'!$A36="","",'[1]Characteristics List'!$A36)</f>
        <v>27</v>
      </c>
      <c r="B35" s="236" t="str">
        <f>IF('[1]Characteristics List'!$B36="","",'[1]Characteristics List'!$B36)</f>
        <v/>
      </c>
      <c r="C35" s="236" t="str">
        <f>IF('[1]Characteristics List'!$E36="","",'[1]Characteristics List'!$E36)</f>
        <v/>
      </c>
      <c r="D35" s="236">
        <f>IF('[1]Characteristics List'!$A36="","",'[1]Characteristics List'!$A36)</f>
        <v>27</v>
      </c>
      <c r="E35" s="236"/>
      <c r="F35" s="236"/>
      <c r="G35" s="236"/>
      <c r="H35" s="236" t="str">
        <f>IF('[1]Characteristics List'!$C36="","",'[1]Characteristics List'!$C36)</f>
        <v/>
      </c>
      <c r="I35" s="236"/>
      <c r="J35" s="236"/>
      <c r="K35" s="236"/>
      <c r="L35" s="236"/>
      <c r="M35" s="235"/>
    </row>
    <row r="36" spans="1:13">
      <c r="A36" s="237">
        <f>IF('[1]Characteristics List'!$A37="","",'[1]Characteristics List'!$A37)</f>
        <v>28</v>
      </c>
      <c r="B36" s="236" t="str">
        <f>IF('[1]Characteristics List'!$B37="","",'[1]Characteristics List'!$B37)</f>
        <v/>
      </c>
      <c r="C36" s="236" t="str">
        <f>IF('[1]Characteristics List'!$E37="","",'[1]Characteristics List'!$E37)</f>
        <v/>
      </c>
      <c r="D36" s="236">
        <f>IF('[1]Characteristics List'!$A37="","",'[1]Characteristics List'!$A37)</f>
        <v>28</v>
      </c>
      <c r="E36" s="236"/>
      <c r="F36" s="236"/>
      <c r="G36" s="236"/>
      <c r="H36" s="236" t="str">
        <f>IF('[1]Characteristics List'!$C37="","",'[1]Characteristics List'!$C37)</f>
        <v/>
      </c>
      <c r="I36" s="236"/>
      <c r="J36" s="236"/>
      <c r="K36" s="236"/>
      <c r="L36" s="236"/>
      <c r="M36" s="235"/>
    </row>
    <row r="37" spans="1:13">
      <c r="A37" s="237">
        <f>IF('[1]Characteristics List'!$A38="","",'[1]Characteristics List'!$A38)</f>
        <v>29</v>
      </c>
      <c r="B37" s="236" t="str">
        <f>IF('[1]Characteristics List'!$B38="","",'[1]Characteristics List'!$B38)</f>
        <v/>
      </c>
      <c r="C37" s="236" t="str">
        <f>IF('[1]Characteristics List'!$E38="","",'[1]Characteristics List'!$E38)</f>
        <v/>
      </c>
      <c r="D37" s="236">
        <f>IF('[1]Characteristics List'!$A38="","",'[1]Characteristics List'!$A38)</f>
        <v>29</v>
      </c>
      <c r="E37" s="236"/>
      <c r="F37" s="236"/>
      <c r="G37" s="236"/>
      <c r="H37" s="236" t="str">
        <f>IF('[1]Characteristics List'!$C38="","",'[1]Characteristics List'!$C38)</f>
        <v/>
      </c>
      <c r="I37" s="236"/>
      <c r="J37" s="236"/>
      <c r="K37" s="236"/>
      <c r="L37" s="236"/>
      <c r="M37" s="235"/>
    </row>
    <row r="38" spans="1:13">
      <c r="A38" s="237">
        <f>IF('[1]Characteristics List'!$A39="","",'[1]Characteristics List'!$A39)</f>
        <v>30</v>
      </c>
      <c r="B38" s="236" t="str">
        <f>IF('[1]Characteristics List'!$B39="","",'[1]Characteristics List'!$B39)</f>
        <v/>
      </c>
      <c r="C38" s="236" t="str">
        <f>IF('[1]Characteristics List'!$E39="","",'[1]Characteristics List'!$E39)</f>
        <v/>
      </c>
      <c r="D38" s="236">
        <f>IF('[1]Characteristics List'!$A39="","",'[1]Characteristics List'!$A39)</f>
        <v>30</v>
      </c>
      <c r="E38" s="236"/>
      <c r="F38" s="236"/>
      <c r="G38" s="236"/>
      <c r="H38" s="236" t="str">
        <f>IF('[1]Characteristics List'!$C39="","",'[1]Characteristics List'!$C39)</f>
        <v/>
      </c>
      <c r="I38" s="236"/>
      <c r="J38" s="236"/>
      <c r="K38" s="236"/>
      <c r="L38" s="236"/>
      <c r="M38" s="235"/>
    </row>
    <row r="39" spans="1:13">
      <c r="A39" s="237">
        <f>IF('[1]Characteristics List'!$A40="","",'[1]Characteristics List'!$A40)</f>
        <v>31</v>
      </c>
      <c r="B39" s="236" t="str">
        <f>IF('[1]Characteristics List'!$B40="","",'[1]Characteristics List'!$B40)</f>
        <v/>
      </c>
      <c r="C39" s="236" t="str">
        <f>IF('[1]Characteristics List'!$E40="","",'[1]Characteristics List'!$E40)</f>
        <v/>
      </c>
      <c r="D39" s="236">
        <f>IF('[1]Characteristics List'!$A40="","",'[1]Characteristics List'!$A40)</f>
        <v>31</v>
      </c>
      <c r="E39" s="236"/>
      <c r="F39" s="236"/>
      <c r="G39" s="236"/>
      <c r="H39" s="236" t="str">
        <f>IF('[1]Characteristics List'!$C40="","",'[1]Characteristics List'!$C40)</f>
        <v/>
      </c>
      <c r="I39" s="236"/>
      <c r="J39" s="236"/>
      <c r="K39" s="236"/>
      <c r="L39" s="236"/>
      <c r="M39" s="235"/>
    </row>
    <row r="40" spans="1:13">
      <c r="A40" s="237">
        <f>IF('[1]Characteristics List'!$A41="","",'[1]Characteristics List'!$A41)</f>
        <v>32</v>
      </c>
      <c r="B40" s="236" t="str">
        <f>IF('[1]Characteristics List'!$B41="","",'[1]Characteristics List'!$B41)</f>
        <v/>
      </c>
      <c r="C40" s="236" t="str">
        <f>IF('[1]Characteristics List'!$E41="","",'[1]Characteristics List'!$E41)</f>
        <v/>
      </c>
      <c r="D40" s="236">
        <f>IF('[1]Characteristics List'!$A41="","",'[1]Characteristics List'!$A41)</f>
        <v>32</v>
      </c>
      <c r="E40" s="236"/>
      <c r="F40" s="236"/>
      <c r="G40" s="236"/>
      <c r="H40" s="236" t="str">
        <f>IF('[1]Characteristics List'!$C41="","",'[1]Characteristics List'!$C41)</f>
        <v/>
      </c>
      <c r="I40" s="236"/>
      <c r="J40" s="236"/>
      <c r="K40" s="236"/>
      <c r="L40" s="236"/>
      <c r="M40" s="235"/>
    </row>
    <row r="41" spans="1:13">
      <c r="A41" s="237">
        <f>IF('[1]Characteristics List'!$A42="","",'[1]Characteristics List'!$A42)</f>
        <v>33</v>
      </c>
      <c r="B41" s="236" t="str">
        <f>IF('[1]Characteristics List'!$B42="","",'[1]Characteristics List'!$B42)</f>
        <v/>
      </c>
      <c r="C41" s="236" t="str">
        <f>IF('[1]Characteristics List'!$E42="","",'[1]Characteristics List'!$E42)</f>
        <v/>
      </c>
      <c r="D41" s="236">
        <f>IF('[1]Characteristics List'!$A42="","",'[1]Characteristics List'!$A42)</f>
        <v>33</v>
      </c>
      <c r="E41" s="236"/>
      <c r="F41" s="236"/>
      <c r="G41" s="236"/>
      <c r="H41" s="236" t="str">
        <f>IF('[1]Characteristics List'!$C42="","",'[1]Characteristics List'!$C42)</f>
        <v/>
      </c>
      <c r="I41" s="236"/>
      <c r="J41" s="236"/>
      <c r="K41" s="236"/>
      <c r="L41" s="236"/>
      <c r="M41" s="235"/>
    </row>
    <row r="42" spans="1:13">
      <c r="A42" s="237">
        <f>IF('[1]Characteristics List'!$A43="","",'[1]Characteristics List'!$A43)</f>
        <v>34</v>
      </c>
      <c r="B42" s="236" t="str">
        <f>IF('[1]Characteristics List'!$B43="","",'[1]Characteristics List'!$B43)</f>
        <v/>
      </c>
      <c r="C42" s="236" t="str">
        <f>IF('[1]Characteristics List'!$E43="","",'[1]Characteristics List'!$E43)</f>
        <v/>
      </c>
      <c r="D42" s="236">
        <f>IF('[1]Characteristics List'!$A43="","",'[1]Characteristics List'!$A43)</f>
        <v>34</v>
      </c>
      <c r="E42" s="236"/>
      <c r="F42" s="236"/>
      <c r="G42" s="236"/>
      <c r="H42" s="236" t="str">
        <f>IF('[1]Characteristics List'!$C43="","",'[1]Characteristics List'!$C43)</f>
        <v/>
      </c>
      <c r="I42" s="236"/>
      <c r="J42" s="236"/>
      <c r="K42" s="236"/>
      <c r="L42" s="236"/>
      <c r="M42" s="235"/>
    </row>
    <row r="43" spans="1:13">
      <c r="A43" s="237">
        <f>IF('[1]Characteristics List'!$A44="","",'[1]Characteristics List'!$A44)</f>
        <v>35</v>
      </c>
      <c r="B43" s="236" t="str">
        <f>IF('[1]Characteristics List'!$B44="","",'[1]Characteristics List'!$B44)</f>
        <v/>
      </c>
      <c r="C43" s="236" t="str">
        <f>IF('[1]Characteristics List'!$E44="","",'[1]Characteristics List'!$E44)</f>
        <v/>
      </c>
      <c r="D43" s="236">
        <f>IF('[1]Characteristics List'!$A44="","",'[1]Characteristics List'!$A44)</f>
        <v>35</v>
      </c>
      <c r="E43" s="236"/>
      <c r="F43" s="236"/>
      <c r="G43" s="236"/>
      <c r="H43" s="236" t="str">
        <f>IF('[1]Characteristics List'!$C44="","",'[1]Characteristics List'!$C44)</f>
        <v/>
      </c>
      <c r="I43" s="236"/>
      <c r="J43" s="236"/>
      <c r="K43" s="236"/>
      <c r="L43" s="236"/>
      <c r="M43" s="235"/>
    </row>
    <row r="44" spans="1:13">
      <c r="A44" s="237">
        <f>IF('[1]Characteristics List'!$A45="","",'[1]Characteristics List'!$A45)</f>
        <v>36</v>
      </c>
      <c r="B44" s="236" t="str">
        <f>IF('[1]Characteristics List'!$B45="","",'[1]Characteristics List'!$B45)</f>
        <v/>
      </c>
      <c r="C44" s="236" t="str">
        <f>IF('[1]Characteristics List'!$E45="","",'[1]Characteristics List'!$E45)</f>
        <v/>
      </c>
      <c r="D44" s="236">
        <f>IF('[1]Characteristics List'!$A45="","",'[1]Characteristics List'!$A45)</f>
        <v>36</v>
      </c>
      <c r="E44" s="236"/>
      <c r="F44" s="236"/>
      <c r="G44" s="236"/>
      <c r="H44" s="236" t="str">
        <f>IF('[1]Characteristics List'!$C45="","",'[1]Characteristics List'!$C45)</f>
        <v/>
      </c>
      <c r="I44" s="236"/>
      <c r="J44" s="236"/>
      <c r="K44" s="236"/>
      <c r="L44" s="236"/>
      <c r="M44" s="235"/>
    </row>
    <row r="45" spans="1:13">
      <c r="A45" s="237">
        <f>IF('[1]Characteristics List'!$A46="","",'[1]Characteristics List'!$A46)</f>
        <v>37</v>
      </c>
      <c r="B45" s="236" t="str">
        <f>IF('[1]Characteristics List'!$B46="","",'[1]Characteristics List'!$B46)</f>
        <v/>
      </c>
      <c r="C45" s="236" t="str">
        <f>IF('[1]Characteristics List'!$E46="","",'[1]Characteristics List'!$E46)</f>
        <v/>
      </c>
      <c r="D45" s="236">
        <f>IF('[1]Characteristics List'!$A46="","",'[1]Characteristics List'!$A46)</f>
        <v>37</v>
      </c>
      <c r="E45" s="236"/>
      <c r="F45" s="236"/>
      <c r="G45" s="236"/>
      <c r="H45" s="236" t="str">
        <f>IF('[1]Characteristics List'!$C46="","",'[1]Characteristics List'!$C46)</f>
        <v/>
      </c>
      <c r="I45" s="236"/>
      <c r="J45" s="236"/>
      <c r="K45" s="236"/>
      <c r="L45" s="236"/>
      <c r="M45" s="235"/>
    </row>
    <row r="46" spans="1:13">
      <c r="A46" s="237">
        <f>IF('[1]Characteristics List'!$A47="","",'[1]Characteristics List'!$A47)</f>
        <v>38</v>
      </c>
      <c r="B46" s="236" t="str">
        <f>IF('[1]Characteristics List'!$B47="","",'[1]Characteristics List'!$B47)</f>
        <v/>
      </c>
      <c r="C46" s="236" t="str">
        <f>IF('[1]Characteristics List'!$E47="","",'[1]Characteristics List'!$E47)</f>
        <v/>
      </c>
      <c r="D46" s="236">
        <f>IF('[1]Characteristics List'!$A47="","",'[1]Characteristics List'!$A47)</f>
        <v>38</v>
      </c>
      <c r="E46" s="236"/>
      <c r="F46" s="236"/>
      <c r="G46" s="236"/>
      <c r="H46" s="236" t="str">
        <f>IF('[1]Characteristics List'!$C47="","",'[1]Characteristics List'!$C47)</f>
        <v/>
      </c>
      <c r="I46" s="236"/>
      <c r="J46" s="236"/>
      <c r="K46" s="236"/>
      <c r="L46" s="236"/>
      <c r="M46" s="235"/>
    </row>
    <row r="47" spans="1:13">
      <c r="A47" s="237">
        <f>IF('[1]Characteristics List'!$A48="","",'[1]Characteristics List'!$A48)</f>
        <v>39</v>
      </c>
      <c r="B47" s="236" t="str">
        <f>IF('[1]Characteristics List'!$B48="","",'[1]Characteristics List'!$B48)</f>
        <v/>
      </c>
      <c r="C47" s="236" t="str">
        <f>IF('[1]Characteristics List'!$E48="","",'[1]Characteristics List'!$E48)</f>
        <v/>
      </c>
      <c r="D47" s="236">
        <f>IF('[1]Characteristics List'!$A48="","",'[1]Characteristics List'!$A48)</f>
        <v>39</v>
      </c>
      <c r="E47" s="236"/>
      <c r="F47" s="236"/>
      <c r="G47" s="236"/>
      <c r="H47" s="236" t="str">
        <f>IF('[1]Characteristics List'!$C48="","",'[1]Characteristics List'!$C48)</f>
        <v/>
      </c>
      <c r="I47" s="236"/>
      <c r="J47" s="236"/>
      <c r="K47" s="236"/>
      <c r="L47" s="236"/>
      <c r="M47" s="235"/>
    </row>
    <row r="48" spans="1:13">
      <c r="A48" s="237">
        <f>IF('[1]Characteristics List'!$A49="","",'[1]Characteristics List'!$A49)</f>
        <v>40</v>
      </c>
      <c r="B48" s="236" t="str">
        <f>IF('[1]Characteristics List'!$B49="","",'[1]Characteristics List'!$B49)</f>
        <v/>
      </c>
      <c r="C48" s="236" t="str">
        <f>IF('[1]Characteristics List'!$E49="","",'[1]Characteristics List'!$E49)</f>
        <v/>
      </c>
      <c r="D48" s="236">
        <f>IF('[1]Characteristics List'!$A49="","",'[1]Characteristics List'!$A49)</f>
        <v>40</v>
      </c>
      <c r="E48" s="236"/>
      <c r="F48" s="236"/>
      <c r="G48" s="236"/>
      <c r="H48" s="236" t="str">
        <f>IF('[1]Characteristics List'!$C49="","",'[1]Characteristics List'!$C49)</f>
        <v/>
      </c>
      <c r="I48" s="236"/>
      <c r="J48" s="236"/>
      <c r="K48" s="236"/>
      <c r="L48" s="236"/>
      <c r="M48" s="235"/>
    </row>
    <row r="49" spans="1:13">
      <c r="A49" s="237">
        <f>IF('[1]Characteristics List'!$A50="","",'[1]Characteristics List'!$A50)</f>
        <v>41</v>
      </c>
      <c r="B49" s="236" t="str">
        <f>IF('[1]Characteristics List'!$B50="","",'[1]Characteristics List'!$B50)</f>
        <v/>
      </c>
      <c r="C49" s="236" t="str">
        <f>IF('[1]Characteristics List'!$E50="","",'[1]Characteristics List'!$E50)</f>
        <v/>
      </c>
      <c r="D49" s="236">
        <f>IF('[1]Characteristics List'!$A50="","",'[1]Characteristics List'!$A50)</f>
        <v>41</v>
      </c>
      <c r="E49" s="236"/>
      <c r="F49" s="236"/>
      <c r="G49" s="236"/>
      <c r="H49" s="236" t="str">
        <f>IF('[1]Characteristics List'!$C50="","",'[1]Characteristics List'!$C50)</f>
        <v/>
      </c>
      <c r="I49" s="236"/>
      <c r="J49" s="236"/>
      <c r="K49" s="236"/>
      <c r="L49" s="236"/>
      <c r="M49" s="235"/>
    </row>
    <row r="50" spans="1:13">
      <c r="A50" s="237">
        <f>IF('[1]Characteristics List'!$A51="","",'[1]Characteristics List'!$A51)</f>
        <v>42</v>
      </c>
      <c r="B50" s="236" t="str">
        <f>IF('[1]Characteristics List'!$B51="","",'[1]Characteristics List'!$B51)</f>
        <v/>
      </c>
      <c r="C50" s="236" t="str">
        <f>IF('[1]Characteristics List'!$E51="","",'[1]Characteristics List'!$E51)</f>
        <v/>
      </c>
      <c r="D50" s="236">
        <f>IF('[1]Characteristics List'!$A51="","",'[1]Characteristics List'!$A51)</f>
        <v>42</v>
      </c>
      <c r="E50" s="236"/>
      <c r="F50" s="236"/>
      <c r="G50" s="236"/>
      <c r="H50" s="236" t="str">
        <f>IF('[1]Characteristics List'!$C51="","",'[1]Characteristics List'!$C51)</f>
        <v/>
      </c>
      <c r="I50" s="236"/>
      <c r="J50" s="236"/>
      <c r="K50" s="236"/>
      <c r="L50" s="236"/>
      <c r="M50" s="235"/>
    </row>
    <row r="51" spans="1:13">
      <c r="A51" s="237">
        <f>IF('[1]Characteristics List'!$A52="","",'[1]Characteristics List'!$A52)</f>
        <v>43</v>
      </c>
      <c r="B51" s="236" t="str">
        <f>IF('[1]Characteristics List'!$B52="","",'[1]Characteristics List'!$B52)</f>
        <v/>
      </c>
      <c r="C51" s="236" t="str">
        <f>IF('[1]Characteristics List'!$E52="","",'[1]Characteristics List'!$E52)</f>
        <v/>
      </c>
      <c r="D51" s="236">
        <f>IF('[1]Characteristics List'!$A52="","",'[1]Characteristics List'!$A52)</f>
        <v>43</v>
      </c>
      <c r="E51" s="236"/>
      <c r="F51" s="236"/>
      <c r="G51" s="236"/>
      <c r="H51" s="236" t="str">
        <f>IF('[1]Characteristics List'!$C52="","",'[1]Characteristics List'!$C52)</f>
        <v/>
      </c>
      <c r="I51" s="236"/>
      <c r="J51" s="236"/>
      <c r="K51" s="236"/>
      <c r="L51" s="236"/>
      <c r="M51" s="235"/>
    </row>
    <row r="52" spans="1:13">
      <c r="A52" s="237">
        <f>IF('[1]Characteristics List'!$A53="","",'[1]Characteristics List'!$A53)</f>
        <v>44</v>
      </c>
      <c r="B52" s="236" t="str">
        <f>IF('[1]Characteristics List'!$B53="","",'[1]Characteristics List'!$B53)</f>
        <v/>
      </c>
      <c r="C52" s="236" t="str">
        <f>IF('[1]Characteristics List'!$E53="","",'[1]Characteristics List'!$E53)</f>
        <v/>
      </c>
      <c r="D52" s="236">
        <f>IF('[1]Characteristics List'!$A53="","",'[1]Characteristics List'!$A53)</f>
        <v>44</v>
      </c>
      <c r="E52" s="236"/>
      <c r="F52" s="236"/>
      <c r="G52" s="236"/>
      <c r="H52" s="236" t="str">
        <f>IF('[1]Characteristics List'!$C53="","",'[1]Characteristics List'!$C53)</f>
        <v/>
      </c>
      <c r="I52" s="236"/>
      <c r="J52" s="236"/>
      <c r="K52" s="236"/>
      <c r="L52" s="236"/>
      <c r="M52" s="235"/>
    </row>
    <row r="53" spans="1:13">
      <c r="A53" s="237">
        <f>IF('[1]Characteristics List'!$A54="","",'[1]Characteristics List'!$A54)</f>
        <v>45</v>
      </c>
      <c r="B53" s="236" t="str">
        <f>IF('[1]Characteristics List'!$B54="","",'[1]Characteristics List'!$B54)</f>
        <v/>
      </c>
      <c r="C53" s="236" t="str">
        <f>IF('[1]Characteristics List'!$E54="","",'[1]Characteristics List'!$E54)</f>
        <v/>
      </c>
      <c r="D53" s="236">
        <f>IF('[1]Characteristics List'!$A54="","",'[1]Characteristics List'!$A54)</f>
        <v>45</v>
      </c>
      <c r="E53" s="236"/>
      <c r="F53" s="236"/>
      <c r="G53" s="236"/>
      <c r="H53" s="236" t="str">
        <f>IF('[1]Characteristics List'!$C54="","",'[1]Characteristics List'!$C54)</f>
        <v/>
      </c>
      <c r="I53" s="236"/>
      <c r="J53" s="236"/>
      <c r="K53" s="236"/>
      <c r="L53" s="236"/>
      <c r="M53" s="235"/>
    </row>
    <row r="54" spans="1:13">
      <c r="A54" s="237">
        <f>IF('[1]Characteristics List'!$A55="","",'[1]Characteristics List'!$A55)</f>
        <v>46</v>
      </c>
      <c r="B54" s="236" t="str">
        <f>IF('[1]Characteristics List'!$B55="","",'[1]Characteristics List'!$B55)</f>
        <v/>
      </c>
      <c r="C54" s="236" t="str">
        <f>IF('[1]Characteristics List'!$E55="","",'[1]Characteristics List'!$E55)</f>
        <v/>
      </c>
      <c r="D54" s="236">
        <f>IF('[1]Characteristics List'!$A55="","",'[1]Characteristics List'!$A55)</f>
        <v>46</v>
      </c>
      <c r="E54" s="236"/>
      <c r="F54" s="236"/>
      <c r="G54" s="236"/>
      <c r="H54" s="236" t="str">
        <f>IF('[1]Characteristics List'!$C55="","",'[1]Characteristics List'!$C55)</f>
        <v/>
      </c>
      <c r="I54" s="236"/>
      <c r="J54" s="236"/>
      <c r="K54" s="236"/>
      <c r="L54" s="236"/>
      <c r="M54" s="235"/>
    </row>
    <row r="55" spans="1:13">
      <c r="A55" s="237" t="str">
        <f>IF('[1]Characteristics List'!$A56="","",'[1]Characteristics List'!$A56)</f>
        <v/>
      </c>
      <c r="B55" s="236" t="str">
        <f>IF('[1]Characteristics List'!$B56="","",'[1]Characteristics List'!$B56)</f>
        <v/>
      </c>
      <c r="C55" s="236" t="str">
        <f>IF('[1]Characteristics List'!$E56="","",'[1]Characteristics List'!$E56)</f>
        <v/>
      </c>
      <c r="D55" s="236" t="str">
        <f>IF('[1]Characteristics List'!$A56="","",'[1]Characteristics List'!$A56)</f>
        <v/>
      </c>
      <c r="E55" s="236"/>
      <c r="F55" s="236"/>
      <c r="G55" s="236"/>
      <c r="H55" s="236" t="str">
        <f>IF('[1]Characteristics List'!$C56="","",'[1]Characteristics List'!$C56)</f>
        <v/>
      </c>
      <c r="I55" s="236"/>
      <c r="J55" s="236"/>
      <c r="K55" s="236"/>
      <c r="L55" s="236"/>
      <c r="M55" s="235"/>
    </row>
    <row r="56" spans="1:13">
      <c r="A56" s="237" t="str">
        <f>IF('[1]Characteristics List'!$A57="","",'[1]Characteristics List'!$A57)</f>
        <v/>
      </c>
      <c r="B56" s="236" t="str">
        <f>IF('[1]Characteristics List'!$B57="","",'[1]Characteristics List'!$B57)</f>
        <v/>
      </c>
      <c r="C56" s="236" t="str">
        <f>IF('[1]Characteristics List'!$E57="","",'[1]Characteristics List'!$E57)</f>
        <v/>
      </c>
      <c r="D56" s="236" t="str">
        <f>IF('[1]Characteristics List'!$A57="","",'[1]Characteristics List'!$A57)</f>
        <v/>
      </c>
      <c r="E56" s="236"/>
      <c r="F56" s="236"/>
      <c r="G56" s="236"/>
      <c r="H56" s="236" t="str">
        <f>IF('[1]Characteristics List'!$C57="","",'[1]Characteristics List'!$C57)</f>
        <v/>
      </c>
      <c r="I56" s="236"/>
      <c r="J56" s="236"/>
      <c r="K56" s="236"/>
      <c r="L56" s="236"/>
      <c r="M56" s="235"/>
    </row>
    <row r="57" spans="1:13">
      <c r="A57" s="237" t="str">
        <f>IF('[1]Characteristics List'!$A58="","",'[1]Characteristics List'!$A58)</f>
        <v/>
      </c>
      <c r="B57" s="236" t="str">
        <f>IF('[1]Characteristics List'!$B58="","",'[1]Characteristics List'!$B58)</f>
        <v/>
      </c>
      <c r="C57" s="236" t="str">
        <f>IF('[1]Characteristics List'!$E58="","",'[1]Characteristics List'!$E58)</f>
        <v/>
      </c>
      <c r="D57" s="236" t="str">
        <f>IF('[1]Characteristics List'!$A58="","",'[1]Characteristics List'!$A58)</f>
        <v/>
      </c>
      <c r="E57" s="236"/>
      <c r="F57" s="236"/>
      <c r="G57" s="236"/>
      <c r="H57" s="236" t="str">
        <f>IF('[1]Characteristics List'!$C58="","",'[1]Characteristics List'!$C58)</f>
        <v/>
      </c>
      <c r="I57" s="236"/>
      <c r="J57" s="236"/>
      <c r="K57" s="236"/>
      <c r="L57" s="236"/>
      <c r="M57" s="235"/>
    </row>
    <row r="58" spans="1:13">
      <c r="A58" s="237" t="str">
        <f>IF('[1]Characteristics List'!$A59="","",'[1]Characteristics List'!$A59)</f>
        <v/>
      </c>
      <c r="B58" s="236" t="str">
        <f>IF('[1]Characteristics List'!$B59="","",'[1]Characteristics List'!$B59)</f>
        <v/>
      </c>
      <c r="C58" s="236" t="str">
        <f>IF('[1]Characteristics List'!$E59="","",'[1]Characteristics List'!$E59)</f>
        <v/>
      </c>
      <c r="D58" s="236" t="str">
        <f>IF('[1]Characteristics List'!$A59="","",'[1]Characteristics List'!$A59)</f>
        <v/>
      </c>
      <c r="E58" s="236"/>
      <c r="F58" s="236"/>
      <c r="G58" s="236"/>
      <c r="H58" s="236" t="str">
        <f>IF('[1]Characteristics List'!$C59="","",'[1]Characteristics List'!$C59)</f>
        <v/>
      </c>
      <c r="I58" s="236"/>
      <c r="J58" s="236"/>
      <c r="K58" s="236"/>
      <c r="L58" s="236"/>
      <c r="M58" s="235"/>
    </row>
    <row r="59" spans="1:13">
      <c r="A59" s="237" t="str">
        <f>IF('[1]Characteristics List'!$A60="","",'[1]Characteristics List'!$A60)</f>
        <v/>
      </c>
      <c r="B59" s="236" t="str">
        <f>IF('[1]Characteristics List'!$B60="","",'[1]Characteristics List'!$B60)</f>
        <v/>
      </c>
      <c r="C59" s="236" t="str">
        <f>IF('[1]Characteristics List'!$E60="","",'[1]Characteristics List'!$E60)</f>
        <v/>
      </c>
      <c r="D59" s="236" t="str">
        <f>IF('[1]Characteristics List'!$A60="","",'[1]Characteristics List'!$A60)</f>
        <v/>
      </c>
      <c r="E59" s="236"/>
      <c r="F59" s="236"/>
      <c r="G59" s="236"/>
      <c r="H59" s="236" t="str">
        <f>IF('[1]Characteristics List'!$C60="","",'[1]Characteristics List'!$C60)</f>
        <v/>
      </c>
      <c r="I59" s="236"/>
      <c r="J59" s="236"/>
      <c r="K59" s="236"/>
      <c r="L59" s="236"/>
      <c r="M59" s="235"/>
    </row>
    <row r="60" spans="1:13">
      <c r="A60" s="237" t="str">
        <f>IF('[1]Characteristics List'!$A61="","",'[1]Characteristics List'!$A61)</f>
        <v/>
      </c>
      <c r="B60" s="236" t="str">
        <f>IF('[1]Characteristics List'!$B61="","",'[1]Characteristics List'!$B61)</f>
        <v/>
      </c>
      <c r="C60" s="236" t="str">
        <f>IF('[1]Characteristics List'!$E61="","",'[1]Characteristics List'!$E61)</f>
        <v/>
      </c>
      <c r="D60" s="236" t="str">
        <f>IF('[1]Characteristics List'!$A61="","",'[1]Characteristics List'!$A61)</f>
        <v/>
      </c>
      <c r="E60" s="236"/>
      <c r="F60" s="236"/>
      <c r="G60" s="236"/>
      <c r="H60" s="236" t="str">
        <f>IF('[1]Characteristics List'!$C61="","",'[1]Characteristics List'!$C61)</f>
        <v/>
      </c>
      <c r="I60" s="236"/>
      <c r="J60" s="236"/>
      <c r="K60" s="236"/>
      <c r="L60" s="236"/>
      <c r="M60" s="235"/>
    </row>
    <row r="61" spans="1:13">
      <c r="A61" s="237" t="str">
        <f>IF('[1]Characteristics List'!$A62="","",'[1]Characteristics List'!$A62)</f>
        <v/>
      </c>
      <c r="B61" s="236" t="str">
        <f>IF('[1]Characteristics List'!$B62="","",'[1]Characteristics List'!$B62)</f>
        <v/>
      </c>
      <c r="C61" s="236" t="str">
        <f>IF('[1]Characteristics List'!$E62="","",'[1]Characteristics List'!$E62)</f>
        <v/>
      </c>
      <c r="D61" s="236" t="str">
        <f>IF('[1]Characteristics List'!$A62="","",'[1]Characteristics List'!$A62)</f>
        <v/>
      </c>
      <c r="E61" s="236"/>
      <c r="F61" s="236"/>
      <c r="G61" s="236"/>
      <c r="H61" s="236" t="str">
        <f>IF('[1]Characteristics List'!$C62="","",'[1]Characteristics List'!$C62)</f>
        <v/>
      </c>
      <c r="I61" s="236"/>
      <c r="J61" s="236"/>
      <c r="K61" s="236"/>
      <c r="L61" s="236"/>
      <c r="M61" s="235"/>
    </row>
    <row r="62" spans="1:13">
      <c r="A62" s="237" t="str">
        <f>IF('[1]Characteristics List'!$A63="","",'[1]Characteristics List'!$A63)</f>
        <v/>
      </c>
      <c r="B62" s="236" t="str">
        <f>IF('[1]Characteristics List'!$B63="","",'[1]Characteristics List'!$B63)</f>
        <v/>
      </c>
      <c r="C62" s="236" t="str">
        <f>IF('[1]Characteristics List'!$E63="","",'[1]Characteristics List'!$E63)</f>
        <v/>
      </c>
      <c r="D62" s="236" t="str">
        <f>IF('[1]Characteristics List'!$A63="","",'[1]Characteristics List'!$A63)</f>
        <v/>
      </c>
      <c r="E62" s="236"/>
      <c r="F62" s="236"/>
      <c r="G62" s="236"/>
      <c r="H62" s="236" t="str">
        <f>IF('[1]Characteristics List'!$C63="","",'[1]Characteristics List'!$C63)</f>
        <v/>
      </c>
      <c r="I62" s="236"/>
      <c r="J62" s="236"/>
      <c r="K62" s="236"/>
      <c r="L62" s="236"/>
      <c r="M62" s="235"/>
    </row>
    <row r="63" spans="1:13">
      <c r="A63" s="237" t="str">
        <f>IF('[1]Characteristics List'!$A64="","",'[1]Characteristics List'!$A64)</f>
        <v/>
      </c>
      <c r="B63" s="236" t="str">
        <f>IF('[1]Characteristics List'!$B64="","",'[1]Characteristics List'!$B64)</f>
        <v/>
      </c>
      <c r="C63" s="236" t="str">
        <f>IF('[1]Characteristics List'!$E64="","",'[1]Characteristics List'!$E64)</f>
        <v/>
      </c>
      <c r="D63" s="236" t="str">
        <f>IF('[1]Characteristics List'!$A64="","",'[1]Characteristics List'!$A64)</f>
        <v/>
      </c>
      <c r="E63" s="236"/>
      <c r="F63" s="236"/>
      <c r="G63" s="236"/>
      <c r="H63" s="236" t="str">
        <f>IF('[1]Characteristics List'!$C64="","",'[1]Characteristics List'!$C64)</f>
        <v/>
      </c>
      <c r="I63" s="236"/>
      <c r="J63" s="236"/>
      <c r="K63" s="236"/>
      <c r="L63" s="236"/>
      <c r="M63" s="235"/>
    </row>
    <row r="64" spans="1:13">
      <c r="A64" s="237" t="str">
        <f>IF('[1]Characteristics List'!$A65="","",'[1]Characteristics List'!$A65)</f>
        <v/>
      </c>
      <c r="B64" s="236" t="str">
        <f>IF('[1]Characteristics List'!$B65="","",'[1]Characteristics List'!$B65)</f>
        <v/>
      </c>
      <c r="C64" s="236" t="str">
        <f>IF('[1]Characteristics List'!$E65="","",'[1]Characteristics List'!$E65)</f>
        <v/>
      </c>
      <c r="D64" s="236" t="str">
        <f>IF('[1]Characteristics List'!$A65="","",'[1]Characteristics List'!$A65)</f>
        <v/>
      </c>
      <c r="E64" s="236"/>
      <c r="F64" s="236"/>
      <c r="G64" s="236"/>
      <c r="H64" s="236" t="str">
        <f>IF('[1]Characteristics List'!$C65="","",'[1]Characteristics List'!$C65)</f>
        <v/>
      </c>
      <c r="I64" s="236"/>
      <c r="J64" s="236"/>
      <c r="K64" s="236"/>
      <c r="L64" s="236"/>
      <c r="M64" s="235"/>
    </row>
    <row r="65" spans="1:13">
      <c r="A65" s="237" t="str">
        <f>IF('[1]Characteristics List'!$A66="","",'[1]Characteristics List'!$A66)</f>
        <v/>
      </c>
      <c r="B65" s="236" t="str">
        <f>IF('[1]Characteristics List'!$B66="","",'[1]Characteristics List'!$B66)</f>
        <v/>
      </c>
      <c r="C65" s="236" t="str">
        <f>IF('[1]Characteristics List'!$E66="","",'[1]Characteristics List'!$E66)</f>
        <v/>
      </c>
      <c r="D65" s="236" t="str">
        <f>IF('[1]Characteristics List'!$A66="","",'[1]Characteristics List'!$A66)</f>
        <v/>
      </c>
      <c r="E65" s="236"/>
      <c r="F65" s="236"/>
      <c r="G65" s="236"/>
      <c r="H65" s="236" t="str">
        <f>IF('[1]Characteristics List'!$C66="","",'[1]Characteristics List'!$C66)</f>
        <v/>
      </c>
      <c r="I65" s="236"/>
      <c r="J65" s="236"/>
      <c r="K65" s="236"/>
      <c r="L65" s="236"/>
      <c r="M65" s="235"/>
    </row>
    <row r="66" spans="1:13">
      <c r="A66" s="237" t="str">
        <f>IF('[1]Characteristics List'!$A67="","",'[1]Characteristics List'!$A67)</f>
        <v/>
      </c>
      <c r="B66" s="236" t="str">
        <f>IF('[1]Characteristics List'!$B67="","",'[1]Characteristics List'!$B67)</f>
        <v/>
      </c>
      <c r="C66" s="236" t="str">
        <f>IF('[1]Characteristics List'!$E67="","",'[1]Characteristics List'!$E67)</f>
        <v/>
      </c>
      <c r="D66" s="236" t="str">
        <f>IF('[1]Characteristics List'!$A67="","",'[1]Characteristics List'!$A67)</f>
        <v/>
      </c>
      <c r="E66" s="236"/>
      <c r="F66" s="236"/>
      <c r="G66" s="236"/>
      <c r="H66" s="236" t="str">
        <f>IF('[1]Characteristics List'!$C67="","",'[1]Characteristics List'!$C67)</f>
        <v/>
      </c>
      <c r="I66" s="236"/>
      <c r="J66" s="236"/>
      <c r="K66" s="236"/>
      <c r="L66" s="236"/>
      <c r="M66" s="235"/>
    </row>
    <row r="67" spans="1:13">
      <c r="A67" s="237" t="str">
        <f>IF('[1]Characteristics List'!$A68="","",'[1]Characteristics List'!$A68)</f>
        <v/>
      </c>
      <c r="B67" s="236" t="str">
        <f>IF('[1]Characteristics List'!$B68="","",'[1]Characteristics List'!$B68)</f>
        <v/>
      </c>
      <c r="C67" s="236" t="str">
        <f>IF('[1]Characteristics List'!$E68="","",'[1]Characteristics List'!$E68)</f>
        <v/>
      </c>
      <c r="D67" s="236" t="str">
        <f>IF('[1]Characteristics List'!$A68="","",'[1]Characteristics List'!$A68)</f>
        <v/>
      </c>
      <c r="E67" s="236"/>
      <c r="F67" s="236"/>
      <c r="G67" s="236"/>
      <c r="H67" s="236" t="str">
        <f>IF('[1]Characteristics List'!$C68="","",'[1]Characteristics List'!$C68)</f>
        <v/>
      </c>
      <c r="I67" s="236"/>
      <c r="J67" s="236"/>
      <c r="K67" s="236"/>
      <c r="L67" s="236"/>
      <c r="M67" s="235"/>
    </row>
    <row r="68" spans="1:13">
      <c r="A68" s="237" t="str">
        <f>IF('[1]Characteristics List'!$A69="","",'[1]Characteristics List'!$A69)</f>
        <v/>
      </c>
      <c r="B68" s="236" t="str">
        <f>IF('[1]Characteristics List'!$B69="","",'[1]Characteristics List'!$B69)</f>
        <v/>
      </c>
      <c r="C68" s="236" t="str">
        <f>IF('[1]Characteristics List'!$E69="","",'[1]Characteristics List'!$E69)</f>
        <v/>
      </c>
      <c r="D68" s="236" t="str">
        <f>IF('[1]Characteristics List'!$A69="","",'[1]Characteristics List'!$A69)</f>
        <v/>
      </c>
      <c r="E68" s="236"/>
      <c r="F68" s="236"/>
      <c r="G68" s="236"/>
      <c r="H68" s="236" t="str">
        <f>IF('[1]Characteristics List'!$C69="","",'[1]Characteristics List'!$C69)</f>
        <v/>
      </c>
      <c r="I68" s="236"/>
      <c r="J68" s="236"/>
      <c r="K68" s="236"/>
      <c r="L68" s="236"/>
      <c r="M68" s="235"/>
    </row>
    <row r="69" spans="1:13">
      <c r="A69" s="237" t="str">
        <f>IF('[1]Characteristics List'!$A70="","",'[1]Characteristics List'!$A70)</f>
        <v/>
      </c>
      <c r="B69" s="236" t="str">
        <f>IF('[1]Characteristics List'!$B70="","",'[1]Characteristics List'!$B70)</f>
        <v/>
      </c>
      <c r="C69" s="236" t="str">
        <f>IF('[1]Characteristics List'!$E70="","",'[1]Characteristics List'!$E70)</f>
        <v/>
      </c>
      <c r="D69" s="236" t="str">
        <f>IF('[1]Characteristics List'!$A70="","",'[1]Characteristics List'!$A70)</f>
        <v/>
      </c>
      <c r="E69" s="236"/>
      <c r="F69" s="236"/>
      <c r="G69" s="236"/>
      <c r="H69" s="236" t="str">
        <f>IF('[1]Characteristics List'!$C70="","",'[1]Characteristics List'!$C70)</f>
        <v/>
      </c>
      <c r="I69" s="236"/>
      <c r="J69" s="236"/>
      <c r="K69" s="236"/>
      <c r="L69" s="236"/>
      <c r="M69" s="235"/>
    </row>
    <row r="70" spans="1:13">
      <c r="A70" s="237" t="str">
        <f>IF('[1]Characteristics List'!$A71="","",'[1]Characteristics List'!$A71)</f>
        <v/>
      </c>
      <c r="B70" s="236" t="str">
        <f>IF('[1]Characteristics List'!$B71="","",'[1]Characteristics List'!$B71)</f>
        <v/>
      </c>
      <c r="C70" s="236" t="str">
        <f>IF('[1]Characteristics List'!$E71="","",'[1]Characteristics List'!$E71)</f>
        <v/>
      </c>
      <c r="D70" s="236" t="str">
        <f>IF('[1]Characteristics List'!$A71="","",'[1]Characteristics List'!$A71)</f>
        <v/>
      </c>
      <c r="E70" s="236"/>
      <c r="F70" s="236"/>
      <c r="G70" s="236"/>
      <c r="H70" s="236" t="str">
        <f>IF('[1]Characteristics List'!$C71="","",'[1]Characteristics List'!$C71)</f>
        <v/>
      </c>
      <c r="I70" s="236"/>
      <c r="J70" s="236"/>
      <c r="K70" s="236"/>
      <c r="L70" s="236"/>
      <c r="M70" s="235"/>
    </row>
    <row r="71" spans="1:13">
      <c r="A71" s="237" t="str">
        <f>IF('[1]Characteristics List'!$A72="","",'[1]Characteristics List'!$A72)</f>
        <v/>
      </c>
      <c r="B71" s="236" t="str">
        <f>IF('[1]Characteristics List'!$B72="","",'[1]Characteristics List'!$B72)</f>
        <v/>
      </c>
      <c r="C71" s="236" t="str">
        <f>IF('[1]Characteristics List'!$E72="","",'[1]Characteristics List'!$E72)</f>
        <v/>
      </c>
      <c r="D71" s="236" t="str">
        <f>IF('[1]Characteristics List'!$A72="","",'[1]Characteristics List'!$A72)</f>
        <v/>
      </c>
      <c r="E71" s="236"/>
      <c r="F71" s="236"/>
      <c r="G71" s="236"/>
      <c r="H71" s="236" t="str">
        <f>IF('[1]Characteristics List'!$C72="","",'[1]Characteristics List'!$C72)</f>
        <v/>
      </c>
      <c r="I71" s="236"/>
      <c r="J71" s="236"/>
      <c r="K71" s="236"/>
      <c r="L71" s="236"/>
      <c r="M71" s="235"/>
    </row>
    <row r="72" spans="1:13">
      <c r="A72" s="237" t="str">
        <f>IF('[1]Characteristics List'!$A73="","",'[1]Characteristics List'!$A73)</f>
        <v/>
      </c>
      <c r="B72" s="236" t="str">
        <f>IF('[1]Characteristics List'!$B73="","",'[1]Characteristics List'!$B73)</f>
        <v/>
      </c>
      <c r="C72" s="236" t="str">
        <f>IF('[1]Characteristics List'!$E73="","",'[1]Characteristics List'!$E73)</f>
        <v/>
      </c>
      <c r="D72" s="236" t="str">
        <f>IF('[1]Characteristics List'!$A73="","",'[1]Characteristics List'!$A73)</f>
        <v/>
      </c>
      <c r="E72" s="236"/>
      <c r="F72" s="236"/>
      <c r="G72" s="236"/>
      <c r="H72" s="236" t="str">
        <f>IF('[1]Characteristics List'!$C73="","",'[1]Characteristics List'!$C73)</f>
        <v/>
      </c>
      <c r="I72" s="236"/>
      <c r="J72" s="236"/>
      <c r="K72" s="236"/>
      <c r="L72" s="236"/>
      <c r="M72" s="235"/>
    </row>
    <row r="73" spans="1:13">
      <c r="A73" s="237" t="str">
        <f>IF('[1]Characteristics List'!$A74="","",'[1]Characteristics List'!$A74)</f>
        <v/>
      </c>
      <c r="B73" s="236" t="str">
        <f>IF('[1]Characteristics List'!$B74="","",'[1]Characteristics List'!$B74)</f>
        <v/>
      </c>
      <c r="C73" s="236" t="str">
        <f>IF('[1]Characteristics List'!$E74="","",'[1]Characteristics List'!$E74)</f>
        <v/>
      </c>
      <c r="D73" s="236" t="str">
        <f>IF('[1]Characteristics List'!$A74="","",'[1]Characteristics List'!$A74)</f>
        <v/>
      </c>
      <c r="E73" s="236"/>
      <c r="F73" s="236"/>
      <c r="G73" s="236"/>
      <c r="H73" s="236" t="str">
        <f>IF('[1]Characteristics List'!$C74="","",'[1]Characteristics List'!$C74)</f>
        <v/>
      </c>
      <c r="I73" s="236"/>
      <c r="J73" s="236"/>
      <c r="K73" s="236"/>
      <c r="L73" s="236"/>
      <c r="M73" s="235"/>
    </row>
    <row r="74" spans="1:13">
      <c r="A74" s="237" t="str">
        <f>IF('[1]Characteristics List'!$A75="","",'[1]Characteristics List'!$A75)</f>
        <v/>
      </c>
      <c r="B74" s="236" t="str">
        <f>IF('[1]Characteristics List'!$B75="","",'[1]Characteristics List'!$B75)</f>
        <v/>
      </c>
      <c r="C74" s="236" t="str">
        <f>IF('[1]Characteristics List'!$E75="","",'[1]Characteristics List'!$E75)</f>
        <v/>
      </c>
      <c r="D74" s="236" t="str">
        <f>IF('[1]Characteristics List'!$A75="","",'[1]Characteristics List'!$A75)</f>
        <v/>
      </c>
      <c r="E74" s="236"/>
      <c r="F74" s="236"/>
      <c r="G74" s="236"/>
      <c r="H74" s="236" t="str">
        <f>IF('[1]Characteristics List'!$C75="","",'[1]Characteristics List'!$C75)</f>
        <v/>
      </c>
      <c r="I74" s="236"/>
      <c r="J74" s="236"/>
      <c r="K74" s="236"/>
      <c r="L74" s="236"/>
      <c r="M74" s="235"/>
    </row>
    <row r="75" spans="1:13">
      <c r="A75" s="237" t="str">
        <f>IF('[1]Characteristics List'!$A76="","",'[1]Characteristics List'!$A76)</f>
        <v/>
      </c>
      <c r="B75" s="236" t="str">
        <f>IF('[1]Characteristics List'!$B76="","",'[1]Characteristics List'!$B76)</f>
        <v/>
      </c>
      <c r="C75" s="236" t="str">
        <f>IF('[1]Characteristics List'!$E76="","",'[1]Characteristics List'!$E76)</f>
        <v/>
      </c>
      <c r="D75" s="236" t="str">
        <f>IF('[1]Characteristics List'!$A76="","",'[1]Characteristics List'!$A76)</f>
        <v/>
      </c>
      <c r="E75" s="236"/>
      <c r="F75" s="236"/>
      <c r="G75" s="236"/>
      <c r="H75" s="236" t="str">
        <f>IF('[1]Characteristics List'!$C76="","",'[1]Characteristics List'!$C76)</f>
        <v/>
      </c>
      <c r="I75" s="236"/>
      <c r="J75" s="236"/>
      <c r="K75" s="236"/>
      <c r="L75" s="236"/>
      <c r="M75" s="235"/>
    </row>
    <row r="76" spans="1:13">
      <c r="A76" s="237" t="str">
        <f>IF('[1]Characteristics List'!$A77="","",'[1]Characteristics List'!$A77)</f>
        <v/>
      </c>
      <c r="B76" s="236" t="str">
        <f>IF('[1]Characteristics List'!$B77="","",'[1]Characteristics List'!$B77)</f>
        <v/>
      </c>
      <c r="C76" s="236" t="str">
        <f>IF('[1]Characteristics List'!$E77="","",'[1]Characteristics List'!$E77)</f>
        <v/>
      </c>
      <c r="D76" s="236" t="str">
        <f>IF('[1]Characteristics List'!$A77="","",'[1]Characteristics List'!$A77)</f>
        <v/>
      </c>
      <c r="E76" s="236"/>
      <c r="F76" s="236"/>
      <c r="G76" s="236"/>
      <c r="H76" s="236" t="str">
        <f>IF('[1]Characteristics List'!$C77="","",'[1]Characteristics List'!$C77)</f>
        <v/>
      </c>
      <c r="I76" s="236"/>
      <c r="J76" s="236"/>
      <c r="K76" s="236"/>
      <c r="L76" s="236"/>
      <c r="M76" s="235"/>
    </row>
    <row r="77" spans="1:13">
      <c r="A77" s="237" t="str">
        <f>IF('[1]Characteristics List'!$A78="","",'[1]Characteristics List'!$A78)</f>
        <v/>
      </c>
      <c r="B77" s="236" t="str">
        <f>IF('[1]Characteristics List'!$B78="","",'[1]Characteristics List'!$B78)</f>
        <v/>
      </c>
      <c r="C77" s="236" t="str">
        <f>IF('[1]Characteristics List'!$E78="","",'[1]Characteristics List'!$E78)</f>
        <v/>
      </c>
      <c r="D77" s="236" t="str">
        <f>IF('[1]Characteristics List'!$A78="","",'[1]Characteristics List'!$A78)</f>
        <v/>
      </c>
      <c r="E77" s="236"/>
      <c r="F77" s="236"/>
      <c r="G77" s="236"/>
      <c r="H77" s="236" t="str">
        <f>IF('[1]Characteristics List'!$C78="","",'[1]Characteristics List'!$C78)</f>
        <v/>
      </c>
      <c r="I77" s="236"/>
      <c r="J77" s="236"/>
      <c r="K77" s="236"/>
      <c r="L77" s="236"/>
      <c r="M77" s="235"/>
    </row>
    <row r="78" spans="1:13">
      <c r="A78" s="237" t="str">
        <f>IF('[1]Characteristics List'!$A79="","",'[1]Characteristics List'!$A79)</f>
        <v/>
      </c>
      <c r="B78" s="236" t="str">
        <f>IF('[1]Characteristics List'!$B79="","",'[1]Characteristics List'!$B79)</f>
        <v/>
      </c>
      <c r="C78" s="236" t="str">
        <f>IF('[1]Characteristics List'!$E79="","",'[1]Characteristics List'!$E79)</f>
        <v/>
      </c>
      <c r="D78" s="236" t="str">
        <f>IF('[1]Characteristics List'!$A79="","",'[1]Characteristics List'!$A79)</f>
        <v/>
      </c>
      <c r="E78" s="236"/>
      <c r="F78" s="236"/>
      <c r="G78" s="236"/>
      <c r="H78" s="236" t="str">
        <f>IF('[1]Characteristics List'!$C79="","",'[1]Characteristics List'!$C79)</f>
        <v/>
      </c>
      <c r="I78" s="236"/>
      <c r="J78" s="236"/>
      <c r="K78" s="236"/>
      <c r="L78" s="236"/>
      <c r="M78" s="235"/>
    </row>
    <row r="79" spans="1:13">
      <c r="A79" s="237" t="str">
        <f>IF('[1]Characteristics List'!$A80="","",'[1]Characteristics List'!$A80)</f>
        <v/>
      </c>
      <c r="B79" s="236" t="str">
        <f>IF('[1]Characteristics List'!$B80="","",'[1]Characteristics List'!$B80)</f>
        <v/>
      </c>
      <c r="C79" s="236" t="str">
        <f>IF('[1]Characteristics List'!$E80="","",'[1]Characteristics List'!$E80)</f>
        <v/>
      </c>
      <c r="D79" s="236" t="str">
        <f>IF('[1]Characteristics List'!$A80="","",'[1]Characteristics List'!$A80)</f>
        <v/>
      </c>
      <c r="E79" s="236"/>
      <c r="F79" s="236"/>
      <c r="G79" s="236"/>
      <c r="H79" s="236" t="str">
        <f>IF('[1]Characteristics List'!$C80="","",'[1]Characteristics List'!$C80)</f>
        <v/>
      </c>
      <c r="I79" s="236"/>
      <c r="J79" s="236"/>
      <c r="K79" s="236"/>
      <c r="L79" s="236"/>
      <c r="M79" s="235"/>
    </row>
    <row r="80" spans="1:13">
      <c r="A80" s="237" t="str">
        <f>IF('[1]Characteristics List'!$A81="","",'[1]Characteristics List'!$A81)</f>
        <v/>
      </c>
      <c r="B80" s="236" t="str">
        <f>IF('[1]Characteristics List'!$B81="","",'[1]Characteristics List'!$B81)</f>
        <v/>
      </c>
      <c r="C80" s="236" t="str">
        <f>IF('[1]Characteristics List'!$E81="","",'[1]Characteristics List'!$E81)</f>
        <v/>
      </c>
      <c r="D80" s="236" t="str">
        <f>IF('[1]Characteristics List'!$A81="","",'[1]Characteristics List'!$A81)</f>
        <v/>
      </c>
      <c r="E80" s="236"/>
      <c r="F80" s="236"/>
      <c r="G80" s="236"/>
      <c r="H80" s="236" t="str">
        <f>IF('[1]Characteristics List'!$C81="","",'[1]Characteristics List'!$C81)</f>
        <v/>
      </c>
      <c r="I80" s="236"/>
      <c r="J80" s="236"/>
      <c r="K80" s="236"/>
      <c r="L80" s="236"/>
      <c r="M80" s="235"/>
    </row>
    <row r="81" spans="1:13">
      <c r="A81" s="237" t="str">
        <f>IF('[1]Characteristics List'!$A82="","",'[1]Characteristics List'!$A82)</f>
        <v/>
      </c>
      <c r="B81" s="236" t="str">
        <f>IF('[1]Characteristics List'!$B82="","",'[1]Characteristics List'!$B82)</f>
        <v/>
      </c>
      <c r="C81" s="236" t="str">
        <f>IF('[1]Characteristics List'!$E82="","",'[1]Characteristics List'!$E82)</f>
        <v/>
      </c>
      <c r="D81" s="236" t="str">
        <f>IF('[1]Characteristics List'!$A82="","",'[1]Characteristics List'!$A82)</f>
        <v/>
      </c>
      <c r="E81" s="236"/>
      <c r="F81" s="236"/>
      <c r="G81" s="236"/>
      <c r="H81" s="236" t="str">
        <f>IF('[1]Characteristics List'!$C82="","",'[1]Characteristics List'!$C82)</f>
        <v/>
      </c>
      <c r="I81" s="236"/>
      <c r="J81" s="236"/>
      <c r="K81" s="236"/>
      <c r="L81" s="236"/>
      <c r="M81" s="235"/>
    </row>
    <row r="82" spans="1:13">
      <c r="A82" s="237" t="str">
        <f>IF('[1]Characteristics List'!$A83="","",'[1]Characteristics List'!$A83)</f>
        <v/>
      </c>
      <c r="B82" s="236" t="str">
        <f>IF('[1]Characteristics List'!$B83="","",'[1]Characteristics List'!$B83)</f>
        <v/>
      </c>
      <c r="C82" s="236" t="str">
        <f>IF('[1]Characteristics List'!$E83="","",'[1]Characteristics List'!$E83)</f>
        <v/>
      </c>
      <c r="D82" s="236" t="str">
        <f>IF('[1]Characteristics List'!$A83="","",'[1]Characteristics List'!$A83)</f>
        <v/>
      </c>
      <c r="E82" s="236"/>
      <c r="F82" s="236"/>
      <c r="G82" s="236"/>
      <c r="H82" s="236" t="str">
        <f>IF('[1]Characteristics List'!$C83="","",'[1]Characteristics List'!$C83)</f>
        <v/>
      </c>
      <c r="I82" s="236"/>
      <c r="J82" s="236"/>
      <c r="K82" s="236"/>
      <c r="L82" s="236"/>
      <c r="M82" s="235"/>
    </row>
    <row r="83" spans="1:13">
      <c r="A83" s="237" t="str">
        <f>IF('[1]Characteristics List'!$A84="","",'[1]Characteristics List'!$A84)</f>
        <v/>
      </c>
      <c r="B83" s="236" t="str">
        <f>IF('[1]Characteristics List'!$B84="","",'[1]Characteristics List'!$B84)</f>
        <v/>
      </c>
      <c r="C83" s="236" t="str">
        <f>IF('[1]Characteristics List'!$E84="","",'[1]Characteristics List'!$E84)</f>
        <v/>
      </c>
      <c r="D83" s="236" t="str">
        <f>IF('[1]Characteristics List'!$A84="","",'[1]Characteristics List'!$A84)</f>
        <v/>
      </c>
      <c r="E83" s="236"/>
      <c r="F83" s="236"/>
      <c r="G83" s="236"/>
      <c r="H83" s="236" t="str">
        <f>IF('[1]Characteristics List'!$C84="","",'[1]Characteristics List'!$C84)</f>
        <v/>
      </c>
      <c r="I83" s="236"/>
      <c r="J83" s="236"/>
      <c r="K83" s="236"/>
      <c r="L83" s="236"/>
      <c r="M83" s="235"/>
    </row>
    <row r="84" spans="1:13">
      <c r="A84" s="237" t="str">
        <f>IF('[1]Characteristics List'!$A85="","",'[1]Characteristics List'!$A85)</f>
        <v/>
      </c>
      <c r="B84" s="236" t="str">
        <f>IF('[1]Characteristics List'!$B85="","",'[1]Characteristics List'!$B85)</f>
        <v/>
      </c>
      <c r="C84" s="236" t="str">
        <f>IF('[1]Characteristics List'!$E85="","",'[1]Characteristics List'!$E85)</f>
        <v/>
      </c>
      <c r="D84" s="236" t="str">
        <f>IF('[1]Characteristics List'!$A85="","",'[1]Characteristics List'!$A85)</f>
        <v/>
      </c>
      <c r="E84" s="236"/>
      <c r="F84" s="236"/>
      <c r="G84" s="236"/>
      <c r="H84" s="236" t="str">
        <f>IF('[1]Characteristics List'!$C85="","",'[1]Characteristics List'!$C85)</f>
        <v/>
      </c>
      <c r="I84" s="236"/>
      <c r="J84" s="236"/>
      <c r="K84" s="236"/>
      <c r="L84" s="236"/>
      <c r="M84" s="235"/>
    </row>
    <row r="85" spans="1:13">
      <c r="A85" s="237" t="str">
        <f>IF('[1]Characteristics List'!$A86="","",'[1]Characteristics List'!$A86)</f>
        <v/>
      </c>
      <c r="B85" s="236" t="str">
        <f>IF('[1]Characteristics List'!$B86="","",'[1]Characteristics List'!$B86)</f>
        <v/>
      </c>
      <c r="C85" s="236" t="str">
        <f>IF('[1]Characteristics List'!$E86="","",'[1]Characteristics List'!$E86)</f>
        <v/>
      </c>
      <c r="D85" s="236" t="str">
        <f>IF('[1]Characteristics List'!$A86="","",'[1]Characteristics List'!$A86)</f>
        <v/>
      </c>
      <c r="E85" s="236"/>
      <c r="F85" s="236"/>
      <c r="G85" s="236"/>
      <c r="H85" s="236" t="str">
        <f>IF('[1]Characteristics List'!$C86="","",'[1]Characteristics List'!$C86)</f>
        <v/>
      </c>
      <c r="I85" s="236"/>
      <c r="J85" s="236"/>
      <c r="K85" s="236"/>
      <c r="L85" s="236"/>
      <c r="M85" s="235"/>
    </row>
    <row r="86" spans="1:13">
      <c r="A86" s="237" t="str">
        <f>IF('[1]Characteristics List'!$A87="","",'[1]Characteristics List'!$A87)</f>
        <v/>
      </c>
      <c r="B86" s="236" t="str">
        <f>IF('[1]Characteristics List'!$B87="","",'[1]Characteristics List'!$B87)</f>
        <v/>
      </c>
      <c r="C86" s="236" t="str">
        <f>IF('[1]Characteristics List'!$E87="","",'[1]Characteristics List'!$E87)</f>
        <v/>
      </c>
      <c r="D86" s="236" t="str">
        <f>IF('[1]Characteristics List'!$A87="","",'[1]Characteristics List'!$A87)</f>
        <v/>
      </c>
      <c r="E86" s="236"/>
      <c r="F86" s="236"/>
      <c r="G86" s="236"/>
      <c r="H86" s="236" t="str">
        <f>IF('[1]Characteristics List'!$C87="","",'[1]Characteristics List'!$C87)</f>
        <v/>
      </c>
      <c r="I86" s="236"/>
      <c r="J86" s="236"/>
      <c r="K86" s="236"/>
      <c r="L86" s="236"/>
      <c r="M86" s="235"/>
    </row>
    <row r="87" spans="1:13">
      <c r="A87" s="237" t="str">
        <f>IF('[1]Characteristics List'!$A88="","",'[1]Characteristics List'!$A88)</f>
        <v/>
      </c>
      <c r="B87" s="236" t="str">
        <f>IF('[1]Characteristics List'!$B88="","",'[1]Characteristics List'!$B88)</f>
        <v/>
      </c>
      <c r="C87" s="236" t="str">
        <f>IF('[1]Characteristics List'!$E88="","",'[1]Characteristics List'!$E88)</f>
        <v/>
      </c>
      <c r="D87" s="236" t="str">
        <f>IF('[1]Characteristics List'!$A88="","",'[1]Characteristics List'!$A88)</f>
        <v/>
      </c>
      <c r="E87" s="236"/>
      <c r="F87" s="236"/>
      <c r="G87" s="236"/>
      <c r="H87" s="236" t="str">
        <f>IF('[1]Characteristics List'!$C88="","",'[1]Characteristics List'!$C88)</f>
        <v/>
      </c>
      <c r="I87" s="236"/>
      <c r="J87" s="236"/>
      <c r="K87" s="236"/>
      <c r="L87" s="236"/>
      <c r="M87" s="235"/>
    </row>
    <row r="88" spans="1:13">
      <c r="A88" s="237" t="str">
        <f>IF('[1]Characteristics List'!$A89="","",'[1]Characteristics List'!$A89)</f>
        <v/>
      </c>
      <c r="B88" s="236" t="str">
        <f>IF('[1]Characteristics List'!$B89="","",'[1]Characteristics List'!$B89)</f>
        <v/>
      </c>
      <c r="C88" s="236" t="str">
        <f>IF('[1]Characteristics List'!$E89="","",'[1]Characteristics List'!$E89)</f>
        <v/>
      </c>
      <c r="D88" s="236" t="str">
        <f>IF('[1]Characteristics List'!$A89="","",'[1]Characteristics List'!$A89)</f>
        <v/>
      </c>
      <c r="E88" s="236"/>
      <c r="F88" s="236"/>
      <c r="G88" s="236"/>
      <c r="H88" s="236" t="str">
        <f>IF('[1]Characteristics List'!$C89="","",'[1]Characteristics List'!$C89)</f>
        <v/>
      </c>
      <c r="I88" s="236"/>
      <c r="J88" s="236"/>
      <c r="K88" s="236"/>
      <c r="L88" s="236"/>
      <c r="M88" s="235"/>
    </row>
    <row r="89" spans="1:13">
      <c r="A89" s="237" t="str">
        <f>IF('[1]Characteristics List'!$A90="","",'[1]Characteristics List'!$A90)</f>
        <v/>
      </c>
      <c r="B89" s="236" t="str">
        <f>IF('[1]Characteristics List'!$B90="","",'[1]Characteristics List'!$B90)</f>
        <v/>
      </c>
      <c r="C89" s="236" t="str">
        <f>IF('[1]Characteristics List'!$E90="","",'[1]Characteristics List'!$E90)</f>
        <v/>
      </c>
      <c r="D89" s="236" t="str">
        <f>IF('[1]Characteristics List'!$A90="","",'[1]Characteristics List'!$A90)</f>
        <v/>
      </c>
      <c r="E89" s="236"/>
      <c r="F89" s="236"/>
      <c r="G89" s="236"/>
      <c r="H89" s="236" t="str">
        <f>IF('[1]Characteristics List'!$C90="","",'[1]Characteristics List'!$C90)</f>
        <v/>
      </c>
      <c r="I89" s="236"/>
      <c r="J89" s="236"/>
      <c r="K89" s="236"/>
      <c r="L89" s="236"/>
      <c r="M89" s="235"/>
    </row>
    <row r="90" spans="1:13">
      <c r="A90" s="237" t="str">
        <f>IF('[1]Characteristics List'!$A91="","",'[1]Characteristics List'!$A91)</f>
        <v/>
      </c>
      <c r="B90" s="236" t="str">
        <f>IF('[1]Characteristics List'!$B91="","",'[1]Characteristics List'!$B91)</f>
        <v/>
      </c>
      <c r="C90" s="236" t="str">
        <f>IF('[1]Characteristics List'!$E91="","",'[1]Characteristics List'!$E91)</f>
        <v/>
      </c>
      <c r="D90" s="236" t="str">
        <f>IF('[1]Characteristics List'!$A91="","",'[1]Characteristics List'!$A91)</f>
        <v/>
      </c>
      <c r="E90" s="236"/>
      <c r="F90" s="236"/>
      <c r="G90" s="236"/>
      <c r="H90" s="236" t="str">
        <f>IF('[1]Characteristics List'!$C91="","",'[1]Characteristics List'!$C91)</f>
        <v/>
      </c>
      <c r="I90" s="236"/>
      <c r="J90" s="236"/>
      <c r="K90" s="236"/>
      <c r="L90" s="236"/>
      <c r="M90" s="235"/>
    </row>
    <row r="91" spans="1:13">
      <c r="A91" s="237" t="str">
        <f>IF('[1]Characteristics List'!$A92="","",'[1]Characteristics List'!$A92)</f>
        <v/>
      </c>
      <c r="B91" s="236" t="str">
        <f>IF('[1]Characteristics List'!$B92="","",'[1]Characteristics List'!$B92)</f>
        <v/>
      </c>
      <c r="C91" s="236" t="str">
        <f>IF('[1]Characteristics List'!$E92="","",'[1]Characteristics List'!$E92)</f>
        <v/>
      </c>
      <c r="D91" s="236" t="str">
        <f>IF('[1]Characteristics List'!$A92="","",'[1]Characteristics List'!$A92)</f>
        <v/>
      </c>
      <c r="E91" s="236"/>
      <c r="F91" s="236"/>
      <c r="G91" s="236"/>
      <c r="H91" s="236" t="str">
        <f>IF('[1]Characteristics List'!$C92="","",'[1]Characteristics List'!$C92)</f>
        <v/>
      </c>
      <c r="I91" s="236"/>
      <c r="J91" s="236"/>
      <c r="K91" s="236"/>
      <c r="L91" s="236"/>
      <c r="M91" s="235"/>
    </row>
    <row r="92" spans="1:13">
      <c r="A92" s="237" t="str">
        <f>IF('[1]Characteristics List'!$A93="","",'[1]Characteristics List'!$A93)</f>
        <v/>
      </c>
      <c r="B92" s="236" t="str">
        <f>IF('[1]Characteristics List'!$B93="","",'[1]Characteristics List'!$B93)</f>
        <v/>
      </c>
      <c r="C92" s="236" t="str">
        <f>IF('[1]Characteristics List'!$E93="","",'[1]Characteristics List'!$E93)</f>
        <v/>
      </c>
      <c r="D92" s="236" t="str">
        <f>IF('[1]Characteristics List'!$A93="","",'[1]Characteristics List'!$A93)</f>
        <v/>
      </c>
      <c r="E92" s="236"/>
      <c r="F92" s="236"/>
      <c r="G92" s="236"/>
      <c r="H92" s="236" t="str">
        <f>IF('[1]Characteristics List'!$C93="","",'[1]Characteristics List'!$C93)</f>
        <v/>
      </c>
      <c r="I92" s="236"/>
      <c r="J92" s="236"/>
      <c r="K92" s="236"/>
      <c r="L92" s="236"/>
      <c r="M92" s="235"/>
    </row>
    <row r="93" spans="1:13">
      <c r="A93" s="237" t="str">
        <f>IF('[1]Characteristics List'!$A94="","",'[1]Characteristics List'!$A94)</f>
        <v/>
      </c>
      <c r="B93" s="236" t="str">
        <f>IF('[1]Characteristics List'!$B94="","",'[1]Characteristics List'!$B94)</f>
        <v/>
      </c>
      <c r="C93" s="236" t="str">
        <f>IF('[1]Characteristics List'!$E94="","",'[1]Characteristics List'!$E94)</f>
        <v/>
      </c>
      <c r="D93" s="236" t="str">
        <f>IF('[1]Characteristics List'!$A94="","",'[1]Characteristics List'!$A94)</f>
        <v/>
      </c>
      <c r="E93" s="236"/>
      <c r="F93" s="236"/>
      <c r="G93" s="236"/>
      <c r="H93" s="236" t="str">
        <f>IF('[1]Characteristics List'!$C94="","",'[1]Characteristics List'!$C94)</f>
        <v/>
      </c>
      <c r="I93" s="236"/>
      <c r="J93" s="236"/>
      <c r="K93" s="236"/>
      <c r="L93" s="236"/>
      <c r="M93" s="235"/>
    </row>
    <row r="94" spans="1:13">
      <c r="A94" s="237" t="str">
        <f>IF('[1]Characteristics List'!$A95="","",'[1]Characteristics List'!$A95)</f>
        <v/>
      </c>
      <c r="B94" s="236" t="str">
        <f>IF('[1]Characteristics List'!$B95="","",'[1]Characteristics List'!$B95)</f>
        <v/>
      </c>
      <c r="C94" s="236" t="str">
        <f>IF('[1]Characteristics List'!$E95="","",'[1]Characteristics List'!$E95)</f>
        <v/>
      </c>
      <c r="D94" s="236" t="str">
        <f>IF('[1]Characteristics List'!$A95="","",'[1]Characteristics List'!$A95)</f>
        <v/>
      </c>
      <c r="E94" s="236"/>
      <c r="F94" s="236"/>
      <c r="G94" s="236"/>
      <c r="H94" s="236" t="str">
        <f>IF('[1]Characteristics List'!$C95="","",'[1]Characteristics List'!$C95)</f>
        <v/>
      </c>
      <c r="I94" s="236"/>
      <c r="J94" s="236"/>
      <c r="K94" s="236"/>
      <c r="L94" s="236"/>
      <c r="M94" s="235"/>
    </row>
    <row r="95" spans="1:13">
      <c r="A95" s="237" t="str">
        <f>IF('[1]Characteristics List'!$A96="","",'[1]Characteristics List'!$A96)</f>
        <v/>
      </c>
      <c r="B95" s="236" t="str">
        <f>IF('[1]Characteristics List'!$B96="","",'[1]Characteristics List'!$B96)</f>
        <v/>
      </c>
      <c r="C95" s="236" t="str">
        <f>IF('[1]Characteristics List'!$E96="","",'[1]Characteristics List'!$E96)</f>
        <v/>
      </c>
      <c r="D95" s="236" t="str">
        <f>IF('[1]Characteristics List'!$A96="","",'[1]Characteristics List'!$A96)</f>
        <v/>
      </c>
      <c r="E95" s="236"/>
      <c r="F95" s="236"/>
      <c r="G95" s="236"/>
      <c r="H95" s="236" t="str">
        <f>IF('[1]Characteristics List'!$C96="","",'[1]Characteristics List'!$C96)</f>
        <v/>
      </c>
      <c r="I95" s="236"/>
      <c r="J95" s="236"/>
      <c r="K95" s="236"/>
      <c r="L95" s="236"/>
      <c r="M95" s="235"/>
    </row>
    <row r="96" spans="1:13">
      <c r="A96" s="237" t="str">
        <f>IF('[1]Characteristics List'!$A97="","",'[1]Characteristics List'!$A97)</f>
        <v/>
      </c>
      <c r="B96" s="236" t="str">
        <f>IF('[1]Characteristics List'!$B97="","",'[1]Characteristics List'!$B97)</f>
        <v/>
      </c>
      <c r="C96" s="236" t="str">
        <f>IF('[1]Characteristics List'!$E97="","",'[1]Characteristics List'!$E97)</f>
        <v/>
      </c>
      <c r="D96" s="236" t="str">
        <f>IF('[1]Characteristics List'!$A97="","",'[1]Characteristics List'!$A97)</f>
        <v/>
      </c>
      <c r="E96" s="236"/>
      <c r="F96" s="236"/>
      <c r="G96" s="236"/>
      <c r="H96" s="236" t="str">
        <f>IF('[1]Characteristics List'!$C97="","",'[1]Characteristics List'!$C97)</f>
        <v/>
      </c>
      <c r="I96" s="236"/>
      <c r="J96" s="236"/>
      <c r="K96" s="236"/>
      <c r="L96" s="236"/>
      <c r="M96" s="235"/>
    </row>
    <row r="97" spans="1:13">
      <c r="A97" s="237" t="str">
        <f>IF('[1]Characteristics List'!$A98="","",'[1]Characteristics List'!$A98)</f>
        <v/>
      </c>
      <c r="B97" s="236" t="str">
        <f>IF('[1]Characteristics List'!$B98="","",'[1]Characteristics List'!$B98)</f>
        <v/>
      </c>
      <c r="C97" s="236" t="str">
        <f>IF('[1]Characteristics List'!$E98="","",'[1]Characteristics List'!$E98)</f>
        <v/>
      </c>
      <c r="D97" s="236" t="str">
        <f>IF('[1]Characteristics List'!$A98="","",'[1]Characteristics List'!$A98)</f>
        <v/>
      </c>
      <c r="E97" s="236"/>
      <c r="F97" s="236"/>
      <c r="G97" s="236"/>
      <c r="H97" s="236" t="str">
        <f>IF('[1]Characteristics List'!$C98="","",'[1]Characteristics List'!$C98)</f>
        <v/>
      </c>
      <c r="I97" s="236"/>
      <c r="J97" s="236"/>
      <c r="K97" s="236"/>
      <c r="L97" s="236"/>
      <c r="M97" s="235"/>
    </row>
    <row r="98" spans="1:13">
      <c r="A98" s="237" t="str">
        <f>IF('[1]Characteristics List'!$A99="","",'[1]Characteristics List'!$A99)</f>
        <v/>
      </c>
      <c r="B98" s="236" t="str">
        <f>IF('[1]Characteristics List'!$B99="","",'[1]Characteristics List'!$B99)</f>
        <v/>
      </c>
      <c r="C98" s="236" t="str">
        <f>IF('[1]Characteristics List'!$E99="","",'[1]Characteristics List'!$E99)</f>
        <v/>
      </c>
      <c r="D98" s="236" t="str">
        <f>IF('[1]Characteristics List'!$A99="","",'[1]Characteristics List'!$A99)</f>
        <v/>
      </c>
      <c r="E98" s="236"/>
      <c r="F98" s="236"/>
      <c r="G98" s="236"/>
      <c r="H98" s="236" t="str">
        <f>IF('[1]Characteristics List'!$C99="","",'[1]Characteristics List'!$C99)</f>
        <v/>
      </c>
      <c r="I98" s="236"/>
      <c r="J98" s="236"/>
      <c r="K98" s="236"/>
      <c r="L98" s="236"/>
      <c r="M98" s="235"/>
    </row>
    <row r="99" spans="1:13">
      <c r="A99" s="237" t="str">
        <f>IF('[1]Characteristics List'!$A100="","",'[1]Characteristics List'!$A100)</f>
        <v/>
      </c>
      <c r="B99" s="236" t="str">
        <f>IF('[1]Characteristics List'!$B100="","",'[1]Characteristics List'!$B100)</f>
        <v/>
      </c>
      <c r="C99" s="236" t="str">
        <f>IF('[1]Characteristics List'!$E100="","",'[1]Characteristics List'!$E100)</f>
        <v/>
      </c>
      <c r="D99" s="236" t="str">
        <f>IF('[1]Characteristics List'!$A100="","",'[1]Characteristics List'!$A100)</f>
        <v/>
      </c>
      <c r="E99" s="236"/>
      <c r="F99" s="236"/>
      <c r="G99" s="236"/>
      <c r="H99" s="236" t="str">
        <f>IF('[1]Characteristics List'!$C100="","",'[1]Characteristics List'!$C100)</f>
        <v/>
      </c>
      <c r="I99" s="236"/>
      <c r="J99" s="236"/>
      <c r="K99" s="236"/>
      <c r="L99" s="236"/>
      <c r="M99" s="235"/>
    </row>
    <row r="100" spans="1:13">
      <c r="A100" s="237" t="str">
        <f>IF('[1]Characteristics List'!$A101="","",'[1]Characteristics List'!$A101)</f>
        <v/>
      </c>
      <c r="B100" s="236" t="str">
        <f>IF('[1]Characteristics List'!$B101="","",'[1]Characteristics List'!$B101)</f>
        <v/>
      </c>
      <c r="C100" s="236" t="str">
        <f>IF('[1]Characteristics List'!$E101="","",'[1]Characteristics List'!$E101)</f>
        <v/>
      </c>
      <c r="D100" s="236" t="str">
        <f>IF('[1]Characteristics List'!$A101="","",'[1]Characteristics List'!$A101)</f>
        <v/>
      </c>
      <c r="E100" s="236"/>
      <c r="F100" s="236"/>
      <c r="G100" s="236"/>
      <c r="H100" s="236" t="str">
        <f>IF('[1]Characteristics List'!$C101="","",'[1]Characteristics List'!$C101)</f>
        <v/>
      </c>
      <c r="I100" s="236"/>
      <c r="J100" s="236"/>
      <c r="K100" s="236"/>
      <c r="L100" s="236"/>
      <c r="M100" s="235"/>
    </row>
    <row r="101" spans="1:13">
      <c r="A101" s="237" t="str">
        <f>IF('[1]Characteristics List'!$A102="","",'[1]Characteristics List'!$A102)</f>
        <v/>
      </c>
      <c r="B101" s="236" t="str">
        <f>IF('[1]Characteristics List'!$B102="","",'[1]Characteristics List'!$B102)</f>
        <v/>
      </c>
      <c r="C101" s="236" t="str">
        <f>IF('[1]Characteristics List'!$E102="","",'[1]Characteristics List'!$E102)</f>
        <v/>
      </c>
      <c r="D101" s="236" t="str">
        <f>IF('[1]Characteristics List'!$A102="","",'[1]Characteristics List'!$A102)</f>
        <v/>
      </c>
      <c r="E101" s="236"/>
      <c r="F101" s="236"/>
      <c r="G101" s="236"/>
      <c r="H101" s="236" t="str">
        <f>IF('[1]Characteristics List'!$C102="","",'[1]Characteristics List'!$C102)</f>
        <v/>
      </c>
      <c r="I101" s="236"/>
      <c r="J101" s="236"/>
      <c r="K101" s="236"/>
      <c r="L101" s="236"/>
      <c r="M101" s="235"/>
    </row>
    <row r="102" spans="1:13">
      <c r="A102" s="237" t="str">
        <f>IF('[1]Characteristics List'!$A103="","",'[1]Characteristics List'!$A103)</f>
        <v/>
      </c>
      <c r="B102" s="236" t="str">
        <f>IF('[1]Characteristics List'!$B103="","",'[1]Characteristics List'!$B103)</f>
        <v/>
      </c>
      <c r="C102" s="236" t="str">
        <f>IF('[1]Characteristics List'!$E103="","",'[1]Characteristics List'!$E103)</f>
        <v/>
      </c>
      <c r="D102" s="236" t="str">
        <f>IF('[1]Characteristics List'!$A103="","",'[1]Characteristics List'!$A103)</f>
        <v/>
      </c>
      <c r="E102" s="236"/>
      <c r="F102" s="236"/>
      <c r="G102" s="236"/>
      <c r="H102" s="236" t="str">
        <f>IF('[1]Characteristics List'!$C103="","",'[1]Characteristics List'!$C103)</f>
        <v/>
      </c>
      <c r="I102" s="236"/>
      <c r="J102" s="236"/>
      <c r="K102" s="236"/>
      <c r="L102" s="236"/>
      <c r="M102" s="235"/>
    </row>
    <row r="103" spans="1:13">
      <c r="A103" s="237" t="str">
        <f>IF('[1]Characteristics List'!$A104="","",'[1]Characteristics List'!$A104)</f>
        <v/>
      </c>
      <c r="B103" s="236" t="str">
        <f>IF('[1]Characteristics List'!$B104="","",'[1]Characteristics List'!$B104)</f>
        <v/>
      </c>
      <c r="C103" s="236" t="str">
        <f>IF('[1]Characteristics List'!$E104="","",'[1]Characteristics List'!$E104)</f>
        <v/>
      </c>
      <c r="D103" s="236" t="str">
        <f>IF('[1]Characteristics List'!$A104="","",'[1]Characteristics List'!$A104)</f>
        <v/>
      </c>
      <c r="E103" s="236"/>
      <c r="F103" s="236"/>
      <c r="G103" s="236"/>
      <c r="H103" s="236" t="str">
        <f>IF('[1]Characteristics List'!$C104="","",'[1]Characteristics List'!$C104)</f>
        <v/>
      </c>
      <c r="I103" s="236"/>
      <c r="J103" s="236"/>
      <c r="K103" s="236"/>
      <c r="L103" s="236"/>
      <c r="M103" s="235"/>
    </row>
    <row r="104" spans="1:13">
      <c r="A104" s="237" t="str">
        <f>IF('[1]Characteristics List'!$A105="","",'[1]Characteristics List'!$A105)</f>
        <v/>
      </c>
      <c r="B104" s="236" t="str">
        <f>IF('[1]Characteristics List'!$B105="","",'[1]Characteristics List'!$B105)</f>
        <v/>
      </c>
      <c r="C104" s="236" t="str">
        <f>IF('[1]Characteristics List'!$E105="","",'[1]Characteristics List'!$E105)</f>
        <v/>
      </c>
      <c r="D104" s="236" t="str">
        <f>IF('[1]Characteristics List'!$A105="","",'[1]Characteristics List'!$A105)</f>
        <v/>
      </c>
      <c r="E104" s="236"/>
      <c r="F104" s="236"/>
      <c r="G104" s="236"/>
      <c r="H104" s="236" t="str">
        <f>IF('[1]Characteristics List'!$C105="","",'[1]Characteristics List'!$C105)</f>
        <v/>
      </c>
      <c r="I104" s="236"/>
      <c r="J104" s="236"/>
      <c r="K104" s="236"/>
      <c r="L104" s="236"/>
      <c r="M104" s="235"/>
    </row>
    <row r="105" spans="1:13">
      <c r="A105" s="237" t="str">
        <f>IF('[1]Characteristics List'!$A106="","",'[1]Characteristics List'!$A106)</f>
        <v/>
      </c>
      <c r="B105" s="236" t="str">
        <f>IF('[1]Characteristics List'!$B106="","",'[1]Characteristics List'!$B106)</f>
        <v/>
      </c>
      <c r="C105" s="236" t="str">
        <f>IF('[1]Characteristics List'!$E106="","",'[1]Characteristics List'!$E106)</f>
        <v/>
      </c>
      <c r="D105" s="236" t="str">
        <f>IF('[1]Characteristics List'!$A106="","",'[1]Characteristics List'!$A106)</f>
        <v/>
      </c>
      <c r="E105" s="236"/>
      <c r="F105" s="236"/>
      <c r="G105" s="236"/>
      <c r="H105" s="236" t="str">
        <f>IF('[1]Characteristics List'!$C106="","",'[1]Characteristics List'!$C106)</f>
        <v/>
      </c>
      <c r="I105" s="236"/>
      <c r="J105" s="236"/>
      <c r="K105" s="236"/>
      <c r="L105" s="236"/>
      <c r="M105" s="235"/>
    </row>
    <row r="106" spans="1:13">
      <c r="A106" s="237" t="str">
        <f>IF('[1]Characteristics List'!$A107="","",'[1]Characteristics List'!$A107)</f>
        <v/>
      </c>
      <c r="B106" s="236" t="str">
        <f>IF('[1]Characteristics List'!$B107="","",'[1]Characteristics List'!$B107)</f>
        <v/>
      </c>
      <c r="C106" s="236" t="str">
        <f>IF('[1]Characteristics List'!$E107="","",'[1]Characteristics List'!$E107)</f>
        <v/>
      </c>
      <c r="D106" s="236" t="str">
        <f>IF('[1]Characteristics List'!$A107="","",'[1]Characteristics List'!$A107)</f>
        <v/>
      </c>
      <c r="E106" s="236"/>
      <c r="F106" s="236"/>
      <c r="G106" s="236"/>
      <c r="H106" s="236" t="str">
        <f>IF('[1]Characteristics List'!$C107="","",'[1]Characteristics List'!$C107)</f>
        <v/>
      </c>
      <c r="I106" s="236"/>
      <c r="J106" s="236"/>
      <c r="K106" s="236"/>
      <c r="L106" s="236"/>
      <c r="M106" s="235"/>
    </row>
    <row r="107" spans="1:13">
      <c r="A107" s="237" t="str">
        <f>IF('[1]Characteristics List'!$A108="","",'[1]Characteristics List'!$A108)</f>
        <v/>
      </c>
      <c r="B107" s="236" t="str">
        <f>IF('[1]Characteristics List'!$B108="","",'[1]Characteristics List'!$B108)</f>
        <v/>
      </c>
      <c r="C107" s="236" t="str">
        <f>IF('[1]Characteristics List'!$E108="","",'[1]Characteristics List'!$E108)</f>
        <v/>
      </c>
      <c r="D107" s="236" t="str">
        <f>IF('[1]Characteristics List'!$A108="","",'[1]Characteristics List'!$A108)</f>
        <v/>
      </c>
      <c r="E107" s="236"/>
      <c r="F107" s="236"/>
      <c r="G107" s="236"/>
      <c r="H107" s="236" t="str">
        <f>IF('[1]Characteristics List'!$C108="","",'[1]Characteristics List'!$C108)</f>
        <v/>
      </c>
      <c r="I107" s="236"/>
      <c r="J107" s="236"/>
      <c r="K107" s="236"/>
      <c r="L107" s="236"/>
      <c r="M107" s="235"/>
    </row>
    <row r="108" spans="1:13">
      <c r="A108" s="237" t="str">
        <f>IF('[1]Characteristics List'!$A109="","",'[1]Characteristics List'!$A109)</f>
        <v/>
      </c>
      <c r="B108" s="236" t="str">
        <f>IF('[1]Characteristics List'!$B109="","",'[1]Characteristics List'!$B109)</f>
        <v/>
      </c>
      <c r="C108" s="236" t="str">
        <f>IF('[1]Characteristics List'!$E109="","",'[1]Characteristics List'!$E109)</f>
        <v/>
      </c>
      <c r="D108" s="236" t="str">
        <f>IF('[1]Characteristics List'!$A109="","",'[1]Characteristics List'!$A109)</f>
        <v/>
      </c>
      <c r="E108" s="236"/>
      <c r="F108" s="236"/>
      <c r="G108" s="236"/>
      <c r="H108" s="236" t="str">
        <f>IF('[1]Characteristics List'!$C109="","",'[1]Characteristics List'!$C109)</f>
        <v/>
      </c>
      <c r="I108" s="236"/>
      <c r="J108" s="236"/>
      <c r="K108" s="236"/>
      <c r="L108" s="236"/>
      <c r="M108" s="235"/>
    </row>
    <row r="109" spans="1:13">
      <c r="A109" s="237" t="str">
        <f>IF('[1]Characteristics List'!$A110="","",'[1]Characteristics List'!$A110)</f>
        <v/>
      </c>
      <c r="B109" s="236" t="str">
        <f>IF('[1]Characteristics List'!$B110="","",'[1]Characteristics List'!$B110)</f>
        <v/>
      </c>
      <c r="C109" s="236" t="str">
        <f>IF('[1]Characteristics List'!$E110="","",'[1]Characteristics List'!$E110)</f>
        <v/>
      </c>
      <c r="D109" s="236" t="str">
        <f>IF('[1]Characteristics List'!$A110="","",'[1]Characteristics List'!$A110)</f>
        <v/>
      </c>
      <c r="E109" s="236"/>
      <c r="F109" s="236"/>
      <c r="G109" s="236"/>
      <c r="H109" s="236" t="str">
        <f>IF('[1]Characteristics List'!$C110="","",'[1]Characteristics List'!$C110)</f>
        <v/>
      </c>
      <c r="I109" s="236"/>
      <c r="J109" s="236"/>
      <c r="K109" s="236"/>
      <c r="L109" s="236"/>
      <c r="M109" s="235"/>
    </row>
    <row r="110" spans="1:13">
      <c r="A110" s="237" t="str">
        <f>IF('[1]Characteristics List'!$A111="","",'[1]Characteristics List'!$A111)</f>
        <v/>
      </c>
      <c r="B110" s="236" t="str">
        <f>IF('[1]Characteristics List'!$B111="","",'[1]Characteristics List'!$B111)</f>
        <v/>
      </c>
      <c r="C110" s="236" t="str">
        <f>IF('[1]Characteristics List'!$E111="","",'[1]Characteristics List'!$E111)</f>
        <v/>
      </c>
      <c r="D110" s="236" t="str">
        <f>IF('[1]Characteristics List'!$A111="","",'[1]Characteristics List'!$A111)</f>
        <v/>
      </c>
      <c r="E110" s="236"/>
      <c r="F110" s="236"/>
      <c r="G110" s="236"/>
      <c r="H110" s="236" t="str">
        <f>IF('[1]Characteristics List'!$C111="","",'[1]Characteristics List'!$C111)</f>
        <v/>
      </c>
      <c r="I110" s="236"/>
      <c r="J110" s="236"/>
      <c r="K110" s="236"/>
      <c r="L110" s="236"/>
      <c r="M110" s="235"/>
    </row>
    <row r="111" spans="1:13">
      <c r="A111" s="237" t="str">
        <f>IF('[1]Characteristics List'!$A112="","",'[1]Characteristics List'!$A112)</f>
        <v/>
      </c>
      <c r="B111" s="236" t="str">
        <f>IF('[1]Characteristics List'!$B112="","",'[1]Characteristics List'!$B112)</f>
        <v/>
      </c>
      <c r="C111" s="236" t="str">
        <f>IF('[1]Characteristics List'!$E112="","",'[1]Characteristics List'!$E112)</f>
        <v/>
      </c>
      <c r="D111" s="236" t="str">
        <f>IF('[1]Characteristics List'!$A112="","",'[1]Characteristics List'!$A112)</f>
        <v/>
      </c>
      <c r="E111" s="236"/>
      <c r="F111" s="236"/>
      <c r="G111" s="236"/>
      <c r="H111" s="236" t="str">
        <f>IF('[1]Characteristics List'!$C112="","",'[1]Characteristics List'!$C112)</f>
        <v/>
      </c>
      <c r="I111" s="236"/>
      <c r="J111" s="236"/>
      <c r="K111" s="236"/>
      <c r="L111" s="236"/>
      <c r="M111" s="235"/>
    </row>
    <row r="112" spans="1:13">
      <c r="A112" s="237" t="str">
        <f>IF('[1]Characteristics List'!$A113="","",'[1]Characteristics List'!$A113)</f>
        <v/>
      </c>
      <c r="B112" s="236" t="str">
        <f>IF('[1]Characteristics List'!$B113="","",'[1]Characteristics List'!$B113)</f>
        <v/>
      </c>
      <c r="C112" s="236" t="str">
        <f>IF('[1]Characteristics List'!$E113="","",'[1]Characteristics List'!$E113)</f>
        <v/>
      </c>
      <c r="D112" s="236" t="str">
        <f>IF('[1]Characteristics List'!$A113="","",'[1]Characteristics List'!$A113)</f>
        <v/>
      </c>
      <c r="E112" s="236"/>
      <c r="F112" s="236"/>
      <c r="G112" s="236"/>
      <c r="H112" s="236" t="str">
        <f>IF('[1]Characteristics List'!$C113="","",'[1]Characteristics List'!$C113)</f>
        <v/>
      </c>
      <c r="I112" s="236"/>
      <c r="J112" s="236"/>
      <c r="K112" s="236"/>
      <c r="L112" s="236"/>
      <c r="M112" s="235"/>
    </row>
    <row r="113" spans="1:13">
      <c r="A113" s="237" t="str">
        <f>IF('[1]Characteristics List'!$A114="","",'[1]Characteristics List'!$A114)</f>
        <v/>
      </c>
      <c r="B113" s="236" t="str">
        <f>IF('[1]Characteristics List'!$B114="","",'[1]Characteristics List'!$B114)</f>
        <v/>
      </c>
      <c r="C113" s="236" t="str">
        <f>IF('[1]Characteristics List'!$E114="","",'[1]Characteristics List'!$E114)</f>
        <v/>
      </c>
      <c r="D113" s="236" t="str">
        <f>IF('[1]Characteristics List'!$A114="","",'[1]Characteristics List'!$A114)</f>
        <v/>
      </c>
      <c r="E113" s="236"/>
      <c r="F113" s="236"/>
      <c r="G113" s="236"/>
      <c r="H113" s="236" t="str">
        <f>IF('[1]Characteristics List'!$C114="","",'[1]Characteristics List'!$C114)</f>
        <v/>
      </c>
      <c r="I113" s="236"/>
      <c r="J113" s="236"/>
      <c r="K113" s="236"/>
      <c r="L113" s="236"/>
      <c r="M113" s="235"/>
    </row>
    <row r="114" spans="1:13">
      <c r="A114" s="237" t="str">
        <f>IF('[1]Characteristics List'!$A115="","",'[1]Characteristics List'!$A115)</f>
        <v/>
      </c>
      <c r="B114" s="236" t="str">
        <f>IF('[1]Characteristics List'!$B115="","",'[1]Characteristics List'!$B115)</f>
        <v/>
      </c>
      <c r="C114" s="236" t="str">
        <f>IF('[1]Characteristics List'!$E115="","",'[1]Characteristics List'!$E115)</f>
        <v/>
      </c>
      <c r="D114" s="236" t="str">
        <f>IF('[1]Characteristics List'!$A115="","",'[1]Characteristics List'!$A115)</f>
        <v/>
      </c>
      <c r="E114" s="236"/>
      <c r="F114" s="236"/>
      <c r="G114" s="236"/>
      <c r="H114" s="236" t="str">
        <f>IF('[1]Characteristics List'!$C115="","",'[1]Characteristics List'!$C115)</f>
        <v/>
      </c>
      <c r="I114" s="236"/>
      <c r="J114" s="236"/>
      <c r="K114" s="236"/>
      <c r="L114" s="236"/>
      <c r="M114" s="235"/>
    </row>
    <row r="115" spans="1:13">
      <c r="A115" s="237" t="str">
        <f>IF('[1]Characteristics List'!$A116="","",'[1]Characteristics List'!$A116)</f>
        <v/>
      </c>
      <c r="B115" s="236" t="str">
        <f>IF('[1]Characteristics List'!$B116="","",'[1]Characteristics List'!$B116)</f>
        <v/>
      </c>
      <c r="C115" s="236" t="str">
        <f>IF('[1]Characteristics List'!$E116="","",'[1]Characteristics List'!$E116)</f>
        <v/>
      </c>
      <c r="D115" s="236" t="str">
        <f>IF('[1]Characteristics List'!$A116="","",'[1]Characteristics List'!$A116)</f>
        <v/>
      </c>
      <c r="E115" s="236"/>
      <c r="F115" s="236"/>
      <c r="G115" s="236"/>
      <c r="H115" s="236" t="str">
        <f>IF('[1]Characteristics List'!$C116="","",'[1]Characteristics List'!$C116)</f>
        <v/>
      </c>
      <c r="I115" s="236"/>
      <c r="J115" s="236"/>
      <c r="K115" s="236"/>
      <c r="L115" s="236"/>
      <c r="M115" s="235"/>
    </row>
    <row r="116" spans="1:13">
      <c r="A116" s="237" t="str">
        <f>IF('[1]Characteristics List'!$A117="","",'[1]Characteristics List'!$A117)</f>
        <v/>
      </c>
      <c r="B116" s="236" t="str">
        <f>IF('[1]Characteristics List'!$B117="","",'[1]Characteristics List'!$B117)</f>
        <v/>
      </c>
      <c r="C116" s="236" t="str">
        <f>IF('[1]Characteristics List'!$E117="","",'[1]Characteristics List'!$E117)</f>
        <v/>
      </c>
      <c r="D116" s="236" t="str">
        <f>IF('[1]Characteristics List'!$A117="","",'[1]Characteristics List'!$A117)</f>
        <v/>
      </c>
      <c r="E116" s="236"/>
      <c r="F116" s="236"/>
      <c r="G116" s="236"/>
      <c r="H116" s="236" t="str">
        <f>IF('[1]Characteristics List'!$C117="","",'[1]Characteristics List'!$C117)</f>
        <v/>
      </c>
      <c r="I116" s="236"/>
      <c r="J116" s="236"/>
      <c r="K116" s="236"/>
      <c r="L116" s="236"/>
      <c r="M116" s="235"/>
    </row>
    <row r="117" spans="1:13">
      <c r="A117" s="237" t="str">
        <f>IF('[1]Characteristics List'!$A118="","",'[1]Characteristics List'!$A118)</f>
        <v/>
      </c>
      <c r="B117" s="236" t="str">
        <f>IF('[1]Characteristics List'!$B118="","",'[1]Characteristics List'!$B118)</f>
        <v/>
      </c>
      <c r="C117" s="236" t="str">
        <f>IF('[1]Characteristics List'!$E118="","",'[1]Characteristics List'!$E118)</f>
        <v/>
      </c>
      <c r="D117" s="236" t="str">
        <f>IF('[1]Characteristics List'!$A118="","",'[1]Characteristics List'!$A118)</f>
        <v/>
      </c>
      <c r="E117" s="236"/>
      <c r="F117" s="236"/>
      <c r="G117" s="236"/>
      <c r="H117" s="236" t="str">
        <f>IF('[1]Characteristics List'!$C118="","",'[1]Characteristics List'!$C118)</f>
        <v/>
      </c>
      <c r="I117" s="236"/>
      <c r="J117" s="236"/>
      <c r="K117" s="236"/>
      <c r="L117" s="236"/>
      <c r="M117" s="235"/>
    </row>
    <row r="118" spans="1:13">
      <c r="A118" s="237" t="str">
        <f>IF('[1]Characteristics List'!$A119="","",'[1]Characteristics List'!$A119)</f>
        <v/>
      </c>
      <c r="B118" s="236" t="str">
        <f>IF('[1]Characteristics List'!$B119="","",'[1]Characteristics List'!$B119)</f>
        <v/>
      </c>
      <c r="C118" s="236" t="str">
        <f>IF('[1]Characteristics List'!$E119="","",'[1]Characteristics List'!$E119)</f>
        <v/>
      </c>
      <c r="D118" s="236" t="str">
        <f>IF('[1]Characteristics List'!$A119="","",'[1]Characteristics List'!$A119)</f>
        <v/>
      </c>
      <c r="E118" s="236"/>
      <c r="F118" s="236"/>
      <c r="G118" s="236"/>
      <c r="H118" s="236" t="str">
        <f>IF('[1]Characteristics List'!$C119="","",'[1]Characteristics List'!$C119)</f>
        <v/>
      </c>
      <c r="I118" s="236"/>
      <c r="J118" s="236"/>
      <c r="K118" s="236"/>
      <c r="L118" s="236"/>
      <c r="M118" s="235"/>
    </row>
    <row r="119" spans="1:13">
      <c r="A119" s="237" t="str">
        <f>IF('[1]Characteristics List'!$A120="","",'[1]Characteristics List'!$A120)</f>
        <v/>
      </c>
      <c r="B119" s="236" t="str">
        <f>IF('[1]Characteristics List'!$B120="","",'[1]Characteristics List'!$B120)</f>
        <v/>
      </c>
      <c r="C119" s="236" t="str">
        <f>IF('[1]Characteristics List'!$E120="","",'[1]Characteristics List'!$E120)</f>
        <v/>
      </c>
      <c r="D119" s="236" t="str">
        <f>IF('[1]Characteristics List'!$A120="","",'[1]Characteristics List'!$A120)</f>
        <v/>
      </c>
      <c r="E119" s="236"/>
      <c r="F119" s="236"/>
      <c r="G119" s="236"/>
      <c r="H119" s="236" t="str">
        <f>IF('[1]Characteristics List'!$C120="","",'[1]Characteristics List'!$C120)</f>
        <v/>
      </c>
      <c r="I119" s="236"/>
      <c r="J119" s="236"/>
      <c r="K119" s="236"/>
      <c r="L119" s="236"/>
      <c r="M119" s="235"/>
    </row>
    <row r="120" spans="1:13">
      <c r="A120" s="237" t="str">
        <f>IF('[1]Characteristics List'!$A121="","",'[1]Characteristics List'!$A121)</f>
        <v/>
      </c>
      <c r="B120" s="236" t="str">
        <f>IF('[1]Characteristics List'!$B121="","",'[1]Characteristics List'!$B121)</f>
        <v/>
      </c>
      <c r="C120" s="236" t="str">
        <f>IF('[1]Characteristics List'!$E121="","",'[1]Characteristics List'!$E121)</f>
        <v/>
      </c>
      <c r="D120" s="236" t="str">
        <f>IF('[1]Characteristics List'!$A121="","",'[1]Characteristics List'!$A121)</f>
        <v/>
      </c>
      <c r="E120" s="236"/>
      <c r="F120" s="236"/>
      <c r="G120" s="236"/>
      <c r="H120" s="236" t="str">
        <f>IF('[1]Characteristics List'!$C121="","",'[1]Characteristics List'!$C121)</f>
        <v/>
      </c>
      <c r="I120" s="236"/>
      <c r="J120" s="236"/>
      <c r="K120" s="236"/>
      <c r="L120" s="236"/>
      <c r="M120" s="235"/>
    </row>
    <row r="121" spans="1:13">
      <c r="A121" s="237" t="str">
        <f>IF('[1]Characteristics List'!$A122="","",'[1]Characteristics List'!$A122)</f>
        <v/>
      </c>
      <c r="B121" s="236" t="str">
        <f>IF('[1]Characteristics List'!$B122="","",'[1]Characteristics List'!$B122)</f>
        <v/>
      </c>
      <c r="C121" s="236" t="str">
        <f>IF('[1]Characteristics List'!$E122="","",'[1]Characteristics List'!$E122)</f>
        <v/>
      </c>
      <c r="D121" s="236" t="str">
        <f>IF('[1]Characteristics List'!$A122="","",'[1]Characteristics List'!$A122)</f>
        <v/>
      </c>
      <c r="E121" s="236"/>
      <c r="F121" s="236"/>
      <c r="G121" s="236"/>
      <c r="H121" s="236" t="str">
        <f>IF('[1]Characteristics List'!$C122="","",'[1]Characteristics List'!$C122)</f>
        <v/>
      </c>
      <c r="I121" s="236"/>
      <c r="J121" s="236"/>
      <c r="K121" s="236"/>
      <c r="L121" s="236"/>
      <c r="M121" s="235"/>
    </row>
    <row r="122" spans="1:13">
      <c r="A122" s="237" t="str">
        <f>IF('[1]Characteristics List'!$A123="","",'[1]Characteristics List'!$A123)</f>
        <v/>
      </c>
      <c r="B122" s="236" t="str">
        <f>IF('[1]Characteristics List'!$B123="","",'[1]Characteristics List'!$B123)</f>
        <v/>
      </c>
      <c r="C122" s="236" t="str">
        <f>IF('[1]Characteristics List'!$E123="","",'[1]Characteristics List'!$E123)</f>
        <v/>
      </c>
      <c r="D122" s="236" t="str">
        <f>IF('[1]Characteristics List'!$A123="","",'[1]Characteristics List'!$A123)</f>
        <v/>
      </c>
      <c r="E122" s="236"/>
      <c r="F122" s="236"/>
      <c r="G122" s="236"/>
      <c r="H122" s="236" t="str">
        <f>IF('[1]Characteristics List'!$C123="","",'[1]Characteristics List'!$C123)</f>
        <v/>
      </c>
      <c r="I122" s="236"/>
      <c r="J122" s="236"/>
      <c r="K122" s="236"/>
      <c r="L122" s="236"/>
      <c r="M122" s="235"/>
    </row>
    <row r="123" spans="1:13">
      <c r="A123" s="237" t="str">
        <f>IF('[1]Characteristics List'!$A124="","",'[1]Characteristics List'!$A124)</f>
        <v/>
      </c>
      <c r="B123" s="236" t="str">
        <f>IF('[1]Characteristics List'!$B124="","",'[1]Characteristics List'!$B124)</f>
        <v/>
      </c>
      <c r="C123" s="236" t="str">
        <f>IF('[1]Characteristics List'!$E124="","",'[1]Characteristics List'!$E124)</f>
        <v/>
      </c>
      <c r="D123" s="236" t="str">
        <f>IF('[1]Characteristics List'!$A124="","",'[1]Characteristics List'!$A124)</f>
        <v/>
      </c>
      <c r="E123" s="236"/>
      <c r="F123" s="236"/>
      <c r="G123" s="236"/>
      <c r="H123" s="236" t="str">
        <f>IF('[1]Characteristics List'!$C124="","",'[1]Characteristics List'!$C124)</f>
        <v/>
      </c>
      <c r="I123" s="236"/>
      <c r="J123" s="236"/>
      <c r="K123" s="236"/>
      <c r="L123" s="236"/>
      <c r="M123" s="235"/>
    </row>
    <row r="124" spans="1:13">
      <c r="A124" s="237" t="str">
        <f>IF('[1]Characteristics List'!$A125="","",'[1]Characteristics List'!$A125)</f>
        <v/>
      </c>
      <c r="B124" s="236" t="str">
        <f>IF('[1]Characteristics List'!$B125="","",'[1]Characteristics List'!$B125)</f>
        <v/>
      </c>
      <c r="C124" s="236" t="str">
        <f>IF('[1]Characteristics List'!$E125="","",'[1]Characteristics List'!$E125)</f>
        <v/>
      </c>
      <c r="D124" s="236" t="str">
        <f>IF('[1]Characteristics List'!$A125="","",'[1]Characteristics List'!$A125)</f>
        <v/>
      </c>
      <c r="E124" s="236"/>
      <c r="F124" s="236"/>
      <c r="G124" s="236"/>
      <c r="H124" s="236" t="str">
        <f>IF('[1]Characteristics List'!$C125="","",'[1]Characteristics List'!$C125)</f>
        <v/>
      </c>
      <c r="I124" s="236"/>
      <c r="J124" s="236"/>
      <c r="K124" s="236"/>
      <c r="L124" s="236"/>
      <c r="M124" s="235"/>
    </row>
    <row r="125" spans="1:13">
      <c r="A125" s="237" t="str">
        <f>IF('[1]Characteristics List'!$A126="","",'[1]Characteristics List'!$A126)</f>
        <v/>
      </c>
      <c r="B125" s="236" t="str">
        <f>IF('[1]Characteristics List'!$B126="","",'[1]Characteristics List'!$B126)</f>
        <v/>
      </c>
      <c r="C125" s="236" t="str">
        <f>IF('[1]Characteristics List'!$E126="","",'[1]Characteristics List'!$E126)</f>
        <v/>
      </c>
      <c r="D125" s="236" t="str">
        <f>IF('[1]Characteristics List'!$A126="","",'[1]Characteristics List'!$A126)</f>
        <v/>
      </c>
      <c r="E125" s="236"/>
      <c r="F125" s="236"/>
      <c r="G125" s="236"/>
      <c r="H125" s="236" t="str">
        <f>IF('[1]Characteristics List'!$C126="","",'[1]Characteristics List'!$C126)</f>
        <v/>
      </c>
      <c r="I125" s="236"/>
      <c r="J125" s="236"/>
      <c r="K125" s="236"/>
      <c r="L125" s="236"/>
      <c r="M125" s="235"/>
    </row>
    <row r="126" spans="1:13">
      <c r="A126" s="237" t="str">
        <f>IF('[1]Characteristics List'!$A127="","",'[1]Characteristics List'!$A127)</f>
        <v/>
      </c>
      <c r="B126" s="236" t="str">
        <f>IF('[1]Characteristics List'!$B127="","",'[1]Characteristics List'!$B127)</f>
        <v/>
      </c>
      <c r="C126" s="236" t="str">
        <f>IF('[1]Characteristics List'!$E127="","",'[1]Characteristics List'!$E127)</f>
        <v/>
      </c>
      <c r="D126" s="236" t="str">
        <f>IF('[1]Characteristics List'!$A127="","",'[1]Characteristics List'!$A127)</f>
        <v/>
      </c>
      <c r="E126" s="236"/>
      <c r="F126" s="236"/>
      <c r="G126" s="236"/>
      <c r="H126" s="236" t="str">
        <f>IF('[1]Characteristics List'!$C127="","",'[1]Characteristics List'!$C127)</f>
        <v/>
      </c>
      <c r="I126" s="236"/>
      <c r="J126" s="236"/>
      <c r="K126" s="236"/>
      <c r="L126" s="236"/>
      <c r="M126" s="235"/>
    </row>
    <row r="127" spans="1:13">
      <c r="A127" s="237" t="str">
        <f>IF('[1]Characteristics List'!$A128="","",'[1]Characteristics List'!$A128)</f>
        <v/>
      </c>
      <c r="B127" s="236" t="str">
        <f>IF('[1]Characteristics List'!$B128="","",'[1]Characteristics List'!$B128)</f>
        <v/>
      </c>
      <c r="C127" s="236" t="str">
        <f>IF('[1]Characteristics List'!$E128="","",'[1]Characteristics List'!$E128)</f>
        <v/>
      </c>
      <c r="D127" s="236" t="str">
        <f>IF('[1]Characteristics List'!$A128="","",'[1]Characteristics List'!$A128)</f>
        <v/>
      </c>
      <c r="E127" s="236"/>
      <c r="F127" s="236"/>
      <c r="G127" s="236"/>
      <c r="H127" s="236" t="str">
        <f>IF('[1]Characteristics List'!$C128="","",'[1]Characteristics List'!$C128)</f>
        <v/>
      </c>
      <c r="I127" s="236"/>
      <c r="J127" s="236"/>
      <c r="K127" s="236"/>
      <c r="L127" s="236"/>
      <c r="M127" s="235"/>
    </row>
    <row r="128" spans="1:13">
      <c r="A128" s="237" t="str">
        <f>IF('[1]Characteristics List'!$A129="","",'[1]Characteristics List'!$A129)</f>
        <v/>
      </c>
      <c r="B128" s="236" t="str">
        <f>IF('[1]Characteristics List'!$B129="","",'[1]Characteristics List'!$B129)</f>
        <v/>
      </c>
      <c r="C128" s="236" t="str">
        <f>IF('[1]Characteristics List'!$E129="","",'[1]Characteristics List'!$E129)</f>
        <v/>
      </c>
      <c r="D128" s="236" t="str">
        <f>IF('[1]Characteristics List'!$A129="","",'[1]Characteristics List'!$A129)</f>
        <v/>
      </c>
      <c r="E128" s="236"/>
      <c r="F128" s="236"/>
      <c r="G128" s="236"/>
      <c r="H128" s="236" t="str">
        <f>IF('[1]Characteristics List'!$C129="","",'[1]Characteristics List'!$C129)</f>
        <v/>
      </c>
      <c r="I128" s="236"/>
      <c r="J128" s="236"/>
      <c r="K128" s="236"/>
      <c r="L128" s="236"/>
      <c r="M128" s="235"/>
    </row>
    <row r="129" spans="1:13">
      <c r="A129" s="237" t="str">
        <f>IF('[1]Characteristics List'!$A130="","",'[1]Characteristics List'!$A130)</f>
        <v/>
      </c>
      <c r="B129" s="236" t="str">
        <f>IF('[1]Characteristics List'!$B130="","",'[1]Characteristics List'!$B130)</f>
        <v/>
      </c>
      <c r="C129" s="236" t="str">
        <f>IF('[1]Characteristics List'!$E130="","",'[1]Characteristics List'!$E130)</f>
        <v/>
      </c>
      <c r="D129" s="236" t="str">
        <f>IF('[1]Characteristics List'!$A130="","",'[1]Characteristics List'!$A130)</f>
        <v/>
      </c>
      <c r="E129" s="236"/>
      <c r="F129" s="236"/>
      <c r="G129" s="236"/>
      <c r="H129" s="236" t="str">
        <f>IF('[1]Characteristics List'!$C130="","",'[1]Characteristics List'!$C130)</f>
        <v/>
      </c>
      <c r="I129" s="236"/>
      <c r="J129" s="236"/>
      <c r="K129" s="236"/>
      <c r="L129" s="236"/>
      <c r="M129" s="235"/>
    </row>
    <row r="130" spans="1:13" ht="10.5" thickBot="1">
      <c r="A130" s="234" t="str">
        <f>IF('[1]Characteristics List'!$A131="","",'[1]Characteristics List'!$A131)</f>
        <v/>
      </c>
      <c r="B130" s="233" t="str">
        <f>IF('[1]Characteristics List'!$B131="","",'[1]Characteristics List'!$B131)</f>
        <v/>
      </c>
      <c r="C130" s="233" t="str">
        <f>IF('[1]Characteristics List'!$E131="","",'[1]Characteristics List'!$E131)</f>
        <v/>
      </c>
      <c r="D130" s="233" t="str">
        <f>IF('[1]Characteristics List'!$A131="","",'[1]Characteristics List'!$A131)</f>
        <v/>
      </c>
      <c r="E130" s="233"/>
      <c r="F130" s="233"/>
      <c r="G130" s="233"/>
      <c r="H130" s="233" t="str">
        <f>IF('[1]Characteristics List'!$C131="","",'[1]Characteristics List'!$C131)</f>
        <v/>
      </c>
      <c r="I130" s="233"/>
      <c r="J130" s="233"/>
      <c r="K130" s="233"/>
      <c r="L130" s="233"/>
      <c r="M130" s="232"/>
    </row>
  </sheetData>
  <printOptions horizontalCentered="1" verticalCentered="1"/>
  <pageMargins left="0.5" right="0.5" top="0.5" bottom="0.5" header="0.5" footer="0.5"/>
  <pageSetup orientation="landscape" horizontalDpi="300" verticalDpi="300" r:id="rId1"/>
  <headerFooter alignWithMargins="0">
    <oddHeader>&amp;RPage &amp;P of &amp;N</oddHeader>
    <oddFooter>&amp;RRevision Code 0.0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2D09-AFA2-4768-985F-B81430605889}">
  <sheetPr codeName="Sheet8"/>
  <dimension ref="A1:X38"/>
  <sheetViews>
    <sheetView showGridLines="0" topLeftCell="A15" workbookViewId="0">
      <selection activeCell="W38" sqref="W38"/>
    </sheetView>
  </sheetViews>
  <sheetFormatPr defaultRowHeight="12.75"/>
  <cols>
    <col min="1" max="1" width="6.73046875" style="1" customWidth="1"/>
    <col min="2" max="6" width="4.73046875" style="1" customWidth="1"/>
    <col min="7" max="7" width="7.1328125" style="1" customWidth="1"/>
    <col min="8" max="10" width="6.73046875" style="1" customWidth="1"/>
    <col min="11" max="14" width="3.73046875" style="1" customWidth="1"/>
    <col min="15" max="22" width="4.73046875" style="1" customWidth="1"/>
    <col min="23" max="23" width="8.1328125" style="1" bestFit="1" customWidth="1"/>
    <col min="24" max="24" width="10.1328125" style="1" bestFit="1" customWidth="1"/>
    <col min="25" max="16384" width="9.06640625" style="1"/>
  </cols>
  <sheetData>
    <row r="1" spans="1:24" ht="17.649999999999999">
      <c r="A1" s="64"/>
      <c r="K1" s="65" t="s">
        <v>71</v>
      </c>
      <c r="R1" s="64"/>
    </row>
    <row r="2" spans="1:24">
      <c r="A2" s="14" t="s">
        <v>70</v>
      </c>
      <c r="B2" s="13"/>
      <c r="C2" s="13"/>
      <c r="D2" s="13"/>
      <c r="E2" s="13"/>
      <c r="F2" s="13"/>
      <c r="G2" s="13"/>
      <c r="H2" s="15"/>
      <c r="I2" s="14" t="s">
        <v>69</v>
      </c>
      <c r="J2" s="13"/>
      <c r="K2" s="13"/>
      <c r="L2" s="13"/>
      <c r="M2" s="13"/>
      <c r="N2" s="13"/>
      <c r="O2" s="15"/>
      <c r="P2" s="323" t="s">
        <v>68</v>
      </c>
      <c r="Q2" s="324"/>
      <c r="R2" s="324"/>
      <c r="S2" s="13"/>
      <c r="T2" s="13"/>
      <c r="U2" s="13"/>
      <c r="V2" s="13"/>
      <c r="W2" s="13"/>
      <c r="X2" s="15"/>
    </row>
    <row r="3" spans="1:24">
      <c r="A3" s="63" t="s">
        <v>27</v>
      </c>
      <c r="B3" s="6"/>
      <c r="C3" s="6">
        <f>'[1]Common Data'!$B$3</f>
        <v>123</v>
      </c>
      <c r="D3" s="6"/>
      <c r="E3" s="6"/>
      <c r="F3" s="6"/>
      <c r="G3" s="6"/>
      <c r="H3" s="8"/>
      <c r="I3" s="63" t="s">
        <v>27</v>
      </c>
      <c r="J3" s="6">
        <f>'[1]Common Data'!$B$4</f>
        <v>987</v>
      </c>
      <c r="K3" s="6"/>
      <c r="L3" s="6"/>
      <c r="M3" s="6"/>
      <c r="N3" s="6"/>
      <c r="O3" s="8"/>
      <c r="P3" s="63" t="s">
        <v>67</v>
      </c>
      <c r="Q3" s="6"/>
      <c r="R3" s="62"/>
      <c r="S3" s="6"/>
      <c r="T3" s="6"/>
      <c r="U3" s="6"/>
      <c r="V3" s="6"/>
      <c r="W3" s="6"/>
      <c r="X3" s="8"/>
    </row>
    <row r="4" spans="1:24">
      <c r="A4" s="61" t="s">
        <v>28</v>
      </c>
      <c r="B4" s="13"/>
      <c r="C4" s="13"/>
      <c r="D4" s="13"/>
      <c r="E4" s="13"/>
      <c r="F4" s="13"/>
      <c r="G4" s="13"/>
      <c r="H4" s="15"/>
      <c r="I4" s="61" t="s">
        <v>66</v>
      </c>
      <c r="J4" s="13"/>
      <c r="K4" s="13"/>
      <c r="L4" s="15"/>
      <c r="M4" s="60" t="s">
        <v>65</v>
      </c>
      <c r="N4" s="13"/>
      <c r="O4" s="13"/>
      <c r="P4" s="13"/>
      <c r="Q4" s="13"/>
      <c r="R4" s="15"/>
      <c r="S4" s="14" t="s">
        <v>2</v>
      </c>
      <c r="T4" s="13"/>
      <c r="U4" s="13"/>
      <c r="V4" s="13"/>
      <c r="W4" s="13"/>
      <c r="X4" s="15"/>
    </row>
    <row r="5" spans="1:24">
      <c r="A5" s="59" t="s">
        <v>62</v>
      </c>
      <c r="B5" s="6"/>
      <c r="C5" s="6" t="str">
        <f>'[1]Common Data'!$B$2</f>
        <v>PartName</v>
      </c>
      <c r="D5" s="6"/>
      <c r="E5" s="6"/>
      <c r="F5" s="6"/>
      <c r="G5" s="6"/>
      <c r="H5" s="8"/>
      <c r="I5" s="59" t="s">
        <v>60</v>
      </c>
      <c r="J5" s="6"/>
      <c r="K5" s="6"/>
      <c r="L5" s="8"/>
      <c r="M5" s="58"/>
      <c r="N5" s="6"/>
      <c r="O5" s="6"/>
      <c r="P5" s="6"/>
      <c r="Q5" s="6"/>
      <c r="R5" s="8"/>
      <c r="S5" s="7"/>
      <c r="T5" s="6"/>
      <c r="U5" s="6"/>
      <c r="V5" s="6"/>
      <c r="W5" s="6"/>
      <c r="X5" s="8"/>
    </row>
    <row r="6" spans="1:24">
      <c r="A6" s="14" t="s">
        <v>5</v>
      </c>
      <c r="B6" s="13"/>
      <c r="C6" s="13"/>
      <c r="D6" s="13"/>
      <c r="E6" s="13"/>
      <c r="F6" s="13"/>
      <c r="G6" s="13"/>
      <c r="H6" s="15"/>
      <c r="I6" s="14" t="s">
        <v>64</v>
      </c>
      <c r="J6" s="13"/>
      <c r="K6" s="13"/>
      <c r="L6" s="13"/>
      <c r="M6" s="13"/>
      <c r="N6" s="13"/>
      <c r="O6" s="13"/>
      <c r="P6" s="13"/>
      <c r="Q6" s="13"/>
      <c r="R6" s="15"/>
      <c r="S6" s="14" t="s">
        <v>63</v>
      </c>
      <c r="T6" s="13"/>
      <c r="U6" s="13"/>
      <c r="V6" s="13"/>
      <c r="W6" s="13"/>
      <c r="X6" s="15"/>
    </row>
    <row r="7" spans="1:24">
      <c r="A7" s="7" t="s">
        <v>62</v>
      </c>
      <c r="B7" s="6"/>
      <c r="C7" s="6" t="str">
        <f>'[1]Common Data'!$B$9</f>
        <v>Supplier</v>
      </c>
      <c r="D7" s="6"/>
      <c r="E7" s="6"/>
      <c r="F7" s="6"/>
      <c r="G7" s="6"/>
      <c r="H7" s="8"/>
      <c r="I7" s="7" t="s">
        <v>61</v>
      </c>
      <c r="J7" s="6"/>
      <c r="K7" s="6" t="str">
        <f>'[1]Common Data'!$B$16</f>
        <v>CitySt</v>
      </c>
      <c r="L7" s="6"/>
      <c r="M7" s="6"/>
      <c r="R7" s="57"/>
      <c r="S7" s="7" t="s">
        <v>60</v>
      </c>
      <c r="T7" s="6"/>
      <c r="U7" s="6">
        <f>'[1]Common Data'!$B$10</f>
        <v>123</v>
      </c>
      <c r="V7" s="6"/>
      <c r="W7" s="6"/>
      <c r="X7" s="8"/>
    </row>
    <row r="8" spans="1:24">
      <c r="A8" s="315" t="s">
        <v>72</v>
      </c>
      <c r="B8" s="316"/>
      <c r="C8" s="26"/>
      <c r="D8" s="13" t="s">
        <v>59</v>
      </c>
      <c r="E8" s="13"/>
      <c r="F8" s="13"/>
      <c r="G8" s="15"/>
      <c r="H8" s="26"/>
      <c r="I8" s="13" t="s">
        <v>58</v>
      </c>
      <c r="J8" s="13"/>
      <c r="K8" s="13"/>
      <c r="L8" s="13"/>
      <c r="M8" s="15"/>
      <c r="N8" s="26"/>
      <c r="O8" s="13" t="s">
        <v>57</v>
      </c>
      <c r="P8" s="13"/>
      <c r="Q8" s="13"/>
      <c r="R8" s="15"/>
      <c r="S8" s="13" t="s">
        <v>56</v>
      </c>
      <c r="T8" s="13"/>
      <c r="U8" s="13"/>
      <c r="V8" s="13"/>
      <c r="W8" s="13"/>
      <c r="X8" s="15"/>
    </row>
    <row r="9" spans="1:24">
      <c r="A9" s="317"/>
      <c r="B9" s="318"/>
      <c r="C9" s="26"/>
      <c r="D9" s="6" t="s">
        <v>55</v>
      </c>
      <c r="E9" s="6"/>
      <c r="F9" s="6"/>
      <c r="G9" s="8"/>
      <c r="H9" s="26"/>
      <c r="I9" s="6" t="s">
        <v>54</v>
      </c>
      <c r="J9" s="6"/>
      <c r="K9" s="6"/>
      <c r="L9" s="6"/>
      <c r="M9" s="8"/>
      <c r="N9" s="26"/>
      <c r="O9" s="6" t="s">
        <v>53</v>
      </c>
      <c r="P9" s="6"/>
      <c r="Q9" s="6"/>
      <c r="R9" s="8"/>
      <c r="S9" s="6"/>
      <c r="T9" s="6"/>
      <c r="U9" s="6"/>
      <c r="V9" s="6"/>
      <c r="W9" s="6"/>
      <c r="X9" s="8"/>
    </row>
    <row r="10" spans="1:24">
      <c r="A10" s="7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8"/>
    </row>
    <row r="11" spans="1:24" ht="14.65" customHeight="1">
      <c r="A11" s="326" t="s">
        <v>52</v>
      </c>
      <c r="B11" s="326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</row>
    <row r="12" spans="1:24" ht="14.25" customHeight="1">
      <c r="A12" s="327" t="s">
        <v>50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9"/>
      <c r="O12" s="56"/>
      <c r="P12" s="54"/>
      <c r="Q12" s="54"/>
      <c r="R12" s="54"/>
      <c r="S12" s="54"/>
      <c r="T12" s="55" t="s">
        <v>51</v>
      </c>
      <c r="U12" s="54"/>
      <c r="V12" s="54"/>
      <c r="W12" s="54"/>
      <c r="X12" s="53"/>
    </row>
    <row r="13" spans="1:24">
      <c r="A13" s="330"/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1"/>
      <c r="N13" s="332"/>
      <c r="O13" s="56" t="s">
        <v>49</v>
      </c>
      <c r="P13" s="54"/>
      <c r="Q13" s="54"/>
      <c r="R13" s="54"/>
      <c r="S13" s="54"/>
      <c r="T13" s="55" t="s">
        <v>48</v>
      </c>
      <c r="U13" s="54"/>
      <c r="V13" s="54"/>
      <c r="W13" s="54"/>
      <c r="X13" s="53"/>
    </row>
    <row r="14" spans="1:24">
      <c r="A14" s="14"/>
      <c r="B14" s="13"/>
      <c r="C14" s="13"/>
      <c r="D14" s="13"/>
      <c r="E14" s="13"/>
      <c r="F14" s="13"/>
      <c r="G14" s="14"/>
      <c r="H14" s="13"/>
      <c r="I14" s="13"/>
      <c r="J14" s="13"/>
      <c r="K14" s="13"/>
      <c r="L14" s="13"/>
      <c r="M14" s="13"/>
      <c r="N14" s="13"/>
      <c r="O14" s="52" t="s">
        <v>47</v>
      </c>
      <c r="P14" s="50"/>
      <c r="Q14" s="50"/>
      <c r="R14" s="50"/>
      <c r="S14" s="50"/>
      <c r="T14" s="51" t="s">
        <v>46</v>
      </c>
      <c r="U14" s="50"/>
      <c r="V14" s="50"/>
      <c r="W14" s="50"/>
      <c r="X14" s="49"/>
    </row>
    <row r="15" spans="1:24">
      <c r="A15" s="17"/>
      <c r="B15" s="16"/>
      <c r="C15" s="16"/>
      <c r="D15" s="16"/>
      <c r="E15" s="16"/>
      <c r="F15" s="16"/>
      <c r="G15" s="17"/>
      <c r="H15" s="16"/>
      <c r="I15" s="16"/>
      <c r="J15" s="16"/>
      <c r="K15" s="16"/>
      <c r="L15" s="16"/>
      <c r="M15" s="16"/>
      <c r="N15" s="16"/>
      <c r="O15" s="45" t="s">
        <v>45</v>
      </c>
      <c r="P15" s="44"/>
      <c r="Q15" s="44"/>
      <c r="R15" s="44"/>
      <c r="S15" s="44"/>
      <c r="T15" s="14"/>
      <c r="U15" s="13"/>
      <c r="V15" s="13"/>
      <c r="W15" s="13"/>
      <c r="X15" s="43"/>
    </row>
    <row r="16" spans="1:24">
      <c r="A16" s="7"/>
      <c r="B16" s="6"/>
      <c r="C16" s="6"/>
      <c r="D16" s="6"/>
      <c r="E16" s="6"/>
      <c r="F16" s="6"/>
      <c r="G16" s="7"/>
      <c r="H16" s="6"/>
      <c r="I16" s="6"/>
      <c r="J16" s="6"/>
      <c r="K16" s="6"/>
      <c r="L16" s="6"/>
      <c r="M16" s="6"/>
      <c r="N16" s="6"/>
      <c r="O16" s="48" t="s">
        <v>44</v>
      </c>
      <c r="P16" s="47"/>
      <c r="Q16" s="47"/>
      <c r="R16" s="47"/>
      <c r="S16" s="47"/>
      <c r="T16" s="7"/>
      <c r="U16" s="6"/>
      <c r="V16" s="6"/>
      <c r="W16" s="6"/>
      <c r="X16" s="46"/>
    </row>
    <row r="17" spans="1:24">
      <c r="A17" s="7"/>
      <c r="B17" s="6"/>
      <c r="C17" s="6"/>
      <c r="D17" s="6"/>
      <c r="E17" s="6"/>
      <c r="F17" s="6"/>
      <c r="G17" s="7"/>
      <c r="H17" s="6"/>
      <c r="I17" s="6"/>
      <c r="J17" s="6"/>
      <c r="K17" s="6"/>
      <c r="L17" s="6"/>
      <c r="M17" s="6"/>
      <c r="N17" s="6"/>
      <c r="O17" s="45" t="s">
        <v>43</v>
      </c>
      <c r="P17" s="44"/>
      <c r="Q17" s="44"/>
      <c r="R17" s="44"/>
      <c r="S17" s="44"/>
      <c r="T17" s="14"/>
      <c r="U17" s="13"/>
      <c r="V17" s="13"/>
      <c r="W17" s="13"/>
      <c r="X17" s="43"/>
    </row>
    <row r="18" spans="1:24">
      <c r="A18" s="7"/>
      <c r="B18" s="6"/>
      <c r="C18" s="6"/>
      <c r="D18" s="6"/>
      <c r="E18" s="6"/>
      <c r="F18" s="6"/>
      <c r="G18" s="7"/>
      <c r="H18" s="6"/>
      <c r="I18" s="6"/>
      <c r="J18" s="6"/>
      <c r="K18" s="6"/>
      <c r="L18" s="6"/>
      <c r="M18" s="6"/>
      <c r="N18" s="6"/>
      <c r="O18" s="48" t="s">
        <v>42</v>
      </c>
      <c r="P18" s="47"/>
      <c r="Q18" s="47"/>
      <c r="R18" s="47"/>
      <c r="S18" s="47"/>
      <c r="T18" s="7"/>
      <c r="U18" s="6"/>
      <c r="V18" s="6"/>
      <c r="W18" s="6"/>
      <c r="X18" s="46"/>
    </row>
    <row r="19" spans="1:24">
      <c r="A19" s="7"/>
      <c r="B19" s="6"/>
      <c r="C19" s="6"/>
      <c r="D19" s="6"/>
      <c r="E19" s="6"/>
      <c r="F19" s="6"/>
      <c r="G19" s="7"/>
      <c r="H19" s="6"/>
      <c r="I19" s="6"/>
      <c r="J19" s="6"/>
      <c r="K19" s="6"/>
      <c r="L19" s="6"/>
      <c r="M19" s="6"/>
      <c r="N19" s="6"/>
      <c r="O19" s="45" t="s">
        <v>41</v>
      </c>
      <c r="P19" s="44"/>
      <c r="Q19" s="44"/>
      <c r="R19" s="44"/>
      <c r="S19" s="44"/>
      <c r="T19" s="14"/>
      <c r="U19" s="13"/>
      <c r="V19" s="13"/>
      <c r="W19" s="13"/>
      <c r="X19" s="43"/>
    </row>
    <row r="20" spans="1:24" ht="13.15" thickBot="1">
      <c r="A20" s="7"/>
      <c r="B20" s="6"/>
      <c r="C20" s="6"/>
      <c r="D20" s="6"/>
      <c r="E20" s="6"/>
      <c r="F20" s="6"/>
      <c r="G20" s="7"/>
      <c r="H20" s="6"/>
      <c r="I20" s="6"/>
      <c r="J20" s="6"/>
      <c r="K20" s="6"/>
      <c r="L20" s="6"/>
      <c r="M20" s="6"/>
      <c r="N20" s="6"/>
      <c r="O20" s="42" t="s">
        <v>40</v>
      </c>
      <c r="P20" s="41"/>
      <c r="Q20" s="41"/>
      <c r="R20" s="41"/>
      <c r="S20" s="41"/>
      <c r="T20" s="3"/>
      <c r="U20" s="4"/>
      <c r="V20" s="4"/>
      <c r="W20" s="4"/>
      <c r="X20" s="2"/>
    </row>
    <row r="22" spans="1:24" ht="13.5" thickBot="1">
      <c r="K22" s="40" t="s">
        <v>39</v>
      </c>
    </row>
    <row r="23" spans="1:24" ht="13.15">
      <c r="A23" s="14"/>
      <c r="B23" s="14"/>
      <c r="C23" s="13"/>
      <c r="D23" s="13"/>
      <c r="E23" s="13"/>
      <c r="F23" s="15"/>
      <c r="G23" s="23"/>
      <c r="H23" s="23"/>
      <c r="I23" s="39"/>
      <c r="J23" s="14"/>
      <c r="K23" s="12"/>
      <c r="L23" s="11"/>
      <c r="M23" s="11"/>
      <c r="N23" s="11"/>
      <c r="O23" s="10"/>
      <c r="P23" s="38"/>
      <c r="Q23" s="11"/>
      <c r="R23" s="11"/>
      <c r="S23" s="10"/>
      <c r="T23" s="38"/>
      <c r="U23" s="11"/>
      <c r="V23" s="9"/>
      <c r="W23" s="37" t="s">
        <v>38</v>
      </c>
      <c r="X23" s="36"/>
    </row>
    <row r="24" spans="1:24">
      <c r="A24" s="33" t="s">
        <v>38</v>
      </c>
      <c r="B24" s="321" t="s">
        <v>37</v>
      </c>
      <c r="C24" s="319"/>
      <c r="D24" s="319"/>
      <c r="E24" s="319"/>
      <c r="F24" s="322"/>
      <c r="G24" s="35" t="s">
        <v>36</v>
      </c>
      <c r="H24" s="35" t="s">
        <v>36</v>
      </c>
      <c r="I24" s="35" t="s">
        <v>35</v>
      </c>
      <c r="J24" s="34" t="s">
        <v>35</v>
      </c>
      <c r="K24" s="325" t="s">
        <v>34</v>
      </c>
      <c r="L24" s="319"/>
      <c r="M24" s="319"/>
      <c r="N24" s="319"/>
      <c r="O24" s="321" t="s">
        <v>33</v>
      </c>
      <c r="P24" s="322"/>
      <c r="Q24" s="319" t="s">
        <v>32</v>
      </c>
      <c r="R24" s="319"/>
      <c r="S24" s="321" t="s">
        <v>31</v>
      </c>
      <c r="T24" s="322"/>
      <c r="U24" s="319" t="s">
        <v>30</v>
      </c>
      <c r="V24" s="320"/>
      <c r="W24" s="29" t="s">
        <v>29</v>
      </c>
      <c r="X24" s="28" t="s">
        <v>28</v>
      </c>
    </row>
    <row r="25" spans="1:24">
      <c r="A25" s="33" t="s">
        <v>23</v>
      </c>
      <c r="B25" s="7"/>
      <c r="C25" s="6"/>
      <c r="D25" s="6"/>
      <c r="E25" s="6"/>
      <c r="F25" s="8"/>
      <c r="G25" s="32" t="s">
        <v>27</v>
      </c>
      <c r="H25" s="32" t="s">
        <v>2</v>
      </c>
      <c r="I25" s="32" t="s">
        <v>26</v>
      </c>
      <c r="J25" s="31" t="s">
        <v>25</v>
      </c>
      <c r="K25" s="30"/>
      <c r="O25" s="7"/>
      <c r="P25" s="8"/>
      <c r="S25" s="7"/>
      <c r="T25" s="8"/>
      <c r="U25" s="319" t="s">
        <v>24</v>
      </c>
      <c r="V25" s="320"/>
      <c r="W25" s="29" t="s">
        <v>23</v>
      </c>
      <c r="X25" s="28" t="s">
        <v>22</v>
      </c>
    </row>
    <row r="26" spans="1:24">
      <c r="A26" s="26"/>
      <c r="B26" s="26" t="s">
        <v>21</v>
      </c>
      <c r="C26" s="26" t="s">
        <v>20</v>
      </c>
      <c r="D26" s="26" t="s">
        <v>19</v>
      </c>
      <c r="E26" s="26" t="s">
        <v>18</v>
      </c>
      <c r="F26" s="26" t="s">
        <v>17</v>
      </c>
      <c r="G26" s="26"/>
      <c r="H26" s="26"/>
      <c r="I26" s="26"/>
      <c r="J26" s="17"/>
      <c r="K26" s="27" t="s">
        <v>16</v>
      </c>
      <c r="L26" s="26" t="s">
        <v>15</v>
      </c>
      <c r="M26" s="26" t="s">
        <v>14</v>
      </c>
      <c r="N26" s="26" t="s">
        <v>13</v>
      </c>
      <c r="O26" s="26" t="s">
        <v>12</v>
      </c>
      <c r="P26" s="26" t="s">
        <v>11</v>
      </c>
      <c r="Q26" s="26" t="s">
        <v>10</v>
      </c>
      <c r="R26" s="26" t="s">
        <v>9</v>
      </c>
      <c r="S26" s="26" t="s">
        <v>8</v>
      </c>
      <c r="T26" s="26" t="s">
        <v>7</v>
      </c>
      <c r="U26" s="26" t="s">
        <v>8</v>
      </c>
      <c r="V26" s="25" t="s">
        <v>7</v>
      </c>
      <c r="W26" s="16"/>
      <c r="X26" s="24"/>
    </row>
    <row r="27" spans="1:24">
      <c r="A27" s="26"/>
      <c r="B27" s="26"/>
      <c r="C27" s="26"/>
      <c r="D27" s="26"/>
      <c r="E27" s="26"/>
      <c r="F27" s="26"/>
      <c r="G27" s="26"/>
      <c r="H27" s="26"/>
      <c r="I27" s="26"/>
      <c r="J27" s="17"/>
      <c r="K27" s="27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5"/>
      <c r="W27" s="16"/>
      <c r="X27" s="24"/>
    </row>
    <row r="28" spans="1:24">
      <c r="A28" s="26"/>
      <c r="B28" s="26"/>
      <c r="C28" s="26"/>
      <c r="D28" s="26"/>
      <c r="E28" s="26"/>
      <c r="F28" s="26"/>
      <c r="G28" s="26"/>
      <c r="H28" s="26"/>
      <c r="I28" s="26"/>
      <c r="J28" s="17"/>
      <c r="K28" s="27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5"/>
      <c r="W28" s="16"/>
      <c r="X28" s="24"/>
    </row>
    <row r="29" spans="1:24">
      <c r="A29" s="26"/>
      <c r="B29" s="26"/>
      <c r="C29" s="26"/>
      <c r="D29" s="26"/>
      <c r="E29" s="26"/>
      <c r="F29" s="26"/>
      <c r="G29" s="26"/>
      <c r="H29" s="26"/>
      <c r="I29" s="26"/>
      <c r="J29" s="17"/>
      <c r="K29" s="27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5"/>
      <c r="W29" s="16"/>
      <c r="X29" s="24"/>
    </row>
    <row r="30" spans="1:24">
      <c r="A30" s="26"/>
      <c r="B30" s="26"/>
      <c r="C30" s="26"/>
      <c r="D30" s="26"/>
      <c r="E30" s="26"/>
      <c r="F30" s="26"/>
      <c r="G30" s="26"/>
      <c r="H30" s="26"/>
      <c r="I30" s="26"/>
      <c r="J30" s="17"/>
      <c r="K30" s="27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5"/>
      <c r="W30" s="16"/>
      <c r="X30" s="24"/>
    </row>
    <row r="31" spans="1:24">
      <c r="A31" s="26"/>
      <c r="B31" s="26"/>
      <c r="C31" s="26"/>
      <c r="D31" s="26"/>
      <c r="E31" s="26"/>
      <c r="F31" s="26"/>
      <c r="G31" s="26"/>
      <c r="H31" s="26"/>
      <c r="I31" s="26"/>
      <c r="J31" s="17"/>
      <c r="K31" s="27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5"/>
      <c r="W31" s="16"/>
      <c r="X31" s="24"/>
    </row>
    <row r="32" spans="1:24">
      <c r="A32" s="26"/>
      <c r="B32" s="26"/>
      <c r="C32" s="26"/>
      <c r="D32" s="26"/>
      <c r="E32" s="26"/>
      <c r="F32" s="26"/>
      <c r="G32" s="26"/>
      <c r="H32" s="26"/>
      <c r="I32" s="26"/>
      <c r="J32" s="17"/>
      <c r="K32" s="27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5"/>
      <c r="W32" s="16"/>
      <c r="X32" s="24"/>
    </row>
    <row r="33" spans="1:24" ht="13.15" thickBot="1">
      <c r="A33" s="23"/>
      <c r="B33" s="23"/>
      <c r="C33" s="23"/>
      <c r="D33" s="23"/>
      <c r="E33" s="23"/>
      <c r="F33" s="23"/>
      <c r="G33" s="23"/>
      <c r="H33" s="23"/>
      <c r="I33" s="23"/>
      <c r="J33" s="14"/>
      <c r="K33" s="22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0"/>
      <c r="W33" s="13"/>
      <c r="X33" s="19"/>
    </row>
    <row r="34" spans="1:24">
      <c r="A34" s="17" t="s">
        <v>6</v>
      </c>
      <c r="B34" s="16"/>
      <c r="C34" s="16"/>
      <c r="D34" s="16"/>
      <c r="E34" s="16"/>
      <c r="F34" s="16"/>
      <c r="G34" s="16"/>
      <c r="H34" s="16"/>
      <c r="I34" s="16"/>
      <c r="J34" s="1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16"/>
      <c r="X34" s="8"/>
    </row>
    <row r="35" spans="1:24">
      <c r="A35" s="17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8"/>
    </row>
    <row r="36" spans="1:24" ht="13.15" thickBot="1">
      <c r="A36" s="17"/>
      <c r="B36" s="16"/>
      <c r="C36" s="16"/>
      <c r="D36" s="16"/>
      <c r="E36" s="16"/>
      <c r="F36" s="16"/>
      <c r="G36" s="16"/>
      <c r="H36" s="16"/>
      <c r="I36" s="16"/>
      <c r="J36" s="16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5"/>
    </row>
    <row r="37" spans="1:24">
      <c r="A37" s="14" t="s">
        <v>5</v>
      </c>
      <c r="B37" s="13"/>
      <c r="C37" s="13"/>
      <c r="D37" s="13"/>
      <c r="E37" s="13"/>
      <c r="F37" s="15"/>
      <c r="G37" s="14" t="s">
        <v>4</v>
      </c>
      <c r="H37" s="15"/>
      <c r="I37" s="14" t="s">
        <v>2</v>
      </c>
      <c r="J37" s="13"/>
      <c r="K37" s="12" t="s">
        <v>3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0" t="s">
        <v>2</v>
      </c>
      <c r="X37" s="9"/>
    </row>
    <row r="38" spans="1:24" ht="13.15" thickBot="1">
      <c r="A38" s="7" t="s">
        <v>1</v>
      </c>
      <c r="B38" s="6"/>
      <c r="C38" s="6"/>
      <c r="D38" s="6"/>
      <c r="E38" s="6"/>
      <c r="F38" s="8"/>
      <c r="G38" s="7"/>
      <c r="H38" s="8"/>
      <c r="I38" s="7"/>
      <c r="J38" s="6"/>
      <c r="K38" s="5" t="s">
        <v>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3"/>
      <c r="X38" s="2"/>
    </row>
  </sheetData>
  <mergeCells count="11">
    <mergeCell ref="A8:B9"/>
    <mergeCell ref="U24:V24"/>
    <mergeCell ref="U25:V25"/>
    <mergeCell ref="S24:T24"/>
    <mergeCell ref="P2:R2"/>
    <mergeCell ref="B24:F24"/>
    <mergeCell ref="K24:N24"/>
    <mergeCell ref="Q24:R24"/>
    <mergeCell ref="O24:P24"/>
    <mergeCell ref="A11:X11"/>
    <mergeCell ref="A12:N13"/>
  </mergeCells>
  <pageMargins left="0.5" right="0.5" top="0.75" bottom="0.5" header="0.5" footer="0.5"/>
  <pageSetup orientation="landscape" horizontalDpi="300" verticalDpi="300" r:id="rId1"/>
  <headerFooter alignWithMargins="0">
    <oddFooter>&amp;RRevision Code 0.0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4347-79F0-4FEE-8CFF-AB68094316DA}">
  <sheetPr codeName="Sheet19"/>
  <dimension ref="A1:C27"/>
  <sheetViews>
    <sheetView zoomScale="85" workbookViewId="0">
      <selection activeCell="C2" sqref="C2"/>
    </sheetView>
  </sheetViews>
  <sheetFormatPr defaultRowHeight="12.75"/>
  <cols>
    <col min="1" max="1" width="46.1328125" style="1" customWidth="1"/>
    <col min="2" max="2" width="22" style="1" customWidth="1"/>
    <col min="3" max="3" width="22.73046875" style="161" customWidth="1"/>
    <col min="4" max="16384" width="9.06640625" style="1"/>
  </cols>
  <sheetData>
    <row r="1" spans="1:3" ht="22.5">
      <c r="A1" s="196" t="s">
        <v>201</v>
      </c>
      <c r="B1" s="44"/>
      <c r="C1" s="195"/>
    </row>
    <row r="2" spans="1:3">
      <c r="A2" s="33"/>
      <c r="C2" s="192"/>
    </row>
    <row r="3" spans="1:3" ht="13.15">
      <c r="A3" s="194" t="s">
        <v>200</v>
      </c>
      <c r="B3" s="171" t="s">
        <v>199</v>
      </c>
      <c r="C3" s="193"/>
    </row>
    <row r="4" spans="1:3" ht="13.15">
      <c r="A4" s="194" t="s">
        <v>198</v>
      </c>
      <c r="B4" s="171" t="s">
        <v>197</v>
      </c>
      <c r="C4" s="193"/>
    </row>
    <row r="5" spans="1:3" ht="13.15">
      <c r="A5" s="194" t="s">
        <v>196</v>
      </c>
      <c r="B5" s="171" t="s">
        <v>195</v>
      </c>
      <c r="C5" s="193"/>
    </row>
    <row r="6" spans="1:3">
      <c r="A6" s="33"/>
      <c r="C6" s="192"/>
    </row>
    <row r="7" spans="1:3" ht="13.15">
      <c r="A7" s="172" t="s">
        <v>194</v>
      </c>
      <c r="B7" s="177" t="s">
        <v>193</v>
      </c>
      <c r="C7" s="176"/>
    </row>
    <row r="8" spans="1:3" ht="60" customHeight="1">
      <c r="A8" s="179"/>
      <c r="B8" s="191"/>
      <c r="C8" s="190"/>
    </row>
    <row r="9" spans="1:3" ht="13.15">
      <c r="A9" s="172" t="s">
        <v>192</v>
      </c>
      <c r="B9" s="172" t="s">
        <v>188</v>
      </c>
      <c r="C9" s="182" t="s">
        <v>184</v>
      </c>
    </row>
    <row r="10" spans="1:3" ht="60" customHeight="1">
      <c r="A10" s="179"/>
      <c r="B10" s="189"/>
      <c r="C10" s="179"/>
    </row>
    <row r="11" spans="1:3" ht="13.15">
      <c r="A11" s="177" t="s">
        <v>191</v>
      </c>
      <c r="B11" s="188" t="s">
        <v>190</v>
      </c>
      <c r="C11" s="182"/>
    </row>
    <row r="12" spans="1:3" ht="60" customHeight="1">
      <c r="A12" s="181"/>
      <c r="B12" s="179"/>
      <c r="C12" s="179"/>
    </row>
    <row r="13" spans="1:3" ht="13.15">
      <c r="A13" s="172" t="s">
        <v>189</v>
      </c>
      <c r="B13" s="172" t="s">
        <v>188</v>
      </c>
      <c r="C13" s="182" t="s">
        <v>187</v>
      </c>
    </row>
    <row r="14" spans="1:3" ht="60" customHeight="1">
      <c r="A14" s="187"/>
      <c r="B14" s="186"/>
      <c r="C14" s="179"/>
    </row>
    <row r="15" spans="1:3" ht="13.15">
      <c r="A15" s="177" t="s">
        <v>186</v>
      </c>
      <c r="B15" s="15"/>
      <c r="C15" s="185" t="s">
        <v>184</v>
      </c>
    </row>
    <row r="16" spans="1:3" ht="60" customHeight="1">
      <c r="A16" s="181"/>
      <c r="B16" s="180"/>
      <c r="C16" s="184"/>
    </row>
    <row r="17" spans="1:3" ht="13.15">
      <c r="A17" s="183" t="s">
        <v>185</v>
      </c>
      <c r="B17" s="57"/>
      <c r="C17" s="182" t="s">
        <v>184</v>
      </c>
    </row>
    <row r="18" spans="1:3" ht="60" customHeight="1">
      <c r="A18" s="181"/>
      <c r="B18" s="180"/>
      <c r="C18" s="179"/>
    </row>
    <row r="19" spans="1:3" ht="13.15">
      <c r="A19" s="177" t="s">
        <v>183</v>
      </c>
      <c r="B19" s="13"/>
      <c r="C19" s="176"/>
    </row>
    <row r="20" spans="1:3">
      <c r="A20" s="178"/>
      <c r="B20" s="6"/>
      <c r="C20" s="173"/>
    </row>
    <row r="21" spans="1:3" ht="14.25" customHeight="1">
      <c r="A21" s="177" t="s">
        <v>182</v>
      </c>
      <c r="B21" s="13"/>
      <c r="C21" s="176"/>
    </row>
    <row r="22" spans="1:3">
      <c r="A22" s="175" t="s">
        <v>181</v>
      </c>
      <c r="C22" s="165"/>
    </row>
    <row r="23" spans="1:3">
      <c r="A23" s="174" t="s">
        <v>180</v>
      </c>
      <c r="B23" s="6"/>
      <c r="C23" s="173"/>
    </row>
    <row r="24" spans="1:3" ht="13.15">
      <c r="A24" s="172" t="s">
        <v>179</v>
      </c>
      <c r="B24" s="171" t="s">
        <v>178</v>
      </c>
      <c r="C24" s="170"/>
    </row>
    <row r="25" spans="1:3" ht="13.15">
      <c r="A25" s="167"/>
      <c r="B25" s="169" t="s">
        <v>177</v>
      </c>
      <c r="C25" s="168"/>
    </row>
    <row r="26" spans="1:3" ht="13.15">
      <c r="A26" s="167"/>
      <c r="B26" s="166" t="s">
        <v>176</v>
      </c>
      <c r="C26" s="165"/>
    </row>
    <row r="27" spans="1:3" ht="13.15">
      <c r="A27" s="164"/>
      <c r="B27" s="163" t="s">
        <v>175</v>
      </c>
      <c r="C27" s="162"/>
    </row>
  </sheetData>
  <pageMargins left="0.75" right="0.75" top="1" bottom="1" header="0.5" footer="0.5"/>
  <pageSetup orientation="portrait" verticalDpi="300" r:id="rId1"/>
  <headerFooter alignWithMargins="0">
    <oddFooter>&amp;RRevision Code 0.0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7" r:id="rId4" name="Check Box 11">
              <controlPr defaultSize="0" autoFill="0" autoLine="0" autoPict="0">
                <anchor moveWithCells="1">
                  <from>
                    <xdr:col>0</xdr:col>
                    <xdr:colOff>1438275</xdr:colOff>
                    <xdr:row>18</xdr:row>
                    <xdr:rowOff>138113</xdr:rowOff>
                  </from>
                  <to>
                    <xdr:col>0</xdr:col>
                    <xdr:colOff>2405063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5" name="Check Box 12">
              <controlPr defaultSize="0" autoFill="0" autoLine="0" autoPict="0">
                <anchor moveWithCells="1">
                  <from>
                    <xdr:col>0</xdr:col>
                    <xdr:colOff>2047875</xdr:colOff>
                    <xdr:row>18</xdr:row>
                    <xdr:rowOff>138113</xdr:rowOff>
                  </from>
                  <to>
                    <xdr:col>0</xdr:col>
                    <xdr:colOff>2947988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6" name="Check Box 13">
              <controlPr defaultSize="0" autoFill="0" autoLine="0" autoPict="0">
                <anchor moveWithCells="1">
                  <from>
                    <xdr:col>0</xdr:col>
                    <xdr:colOff>3019425</xdr:colOff>
                    <xdr:row>18</xdr:row>
                    <xdr:rowOff>138113</xdr:rowOff>
                  </from>
                  <to>
                    <xdr:col>1</xdr:col>
                    <xdr:colOff>847725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7" name="Check Box 14">
              <controlPr defaultSize="0" autoFill="0" autoLine="0" autoPict="0">
                <anchor moveWithCells="1">
                  <from>
                    <xdr:col>0</xdr:col>
                    <xdr:colOff>3019425</xdr:colOff>
                    <xdr:row>20</xdr:row>
                    <xdr:rowOff>0</xdr:rowOff>
                  </from>
                  <to>
                    <xdr:col>1</xdr:col>
                    <xdr:colOff>204788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8" name="Check Box 15">
              <controlPr defaultSize="0" autoFill="0" autoLine="0" autoPict="0">
                <anchor moveWithCells="1">
                  <from>
                    <xdr:col>1</xdr:col>
                    <xdr:colOff>490538</xdr:colOff>
                    <xdr:row>20</xdr:row>
                    <xdr:rowOff>0</xdr:rowOff>
                  </from>
                  <to>
                    <xdr:col>1</xdr:col>
                    <xdr:colOff>885825</xdr:colOff>
                    <xdr:row>21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9064-A8D0-4B63-A731-57D14FC899F5}">
  <sheetPr codeName="Sheet7"/>
  <dimension ref="A1:F51"/>
  <sheetViews>
    <sheetView zoomScaleNormal="100" zoomScaleSheetLayoutView="100" workbookViewId="0">
      <selection activeCell="C40" sqref="C40"/>
    </sheetView>
  </sheetViews>
  <sheetFormatPr defaultRowHeight="12.75"/>
  <cols>
    <col min="1" max="1" width="13.265625" style="1" customWidth="1"/>
    <col min="2" max="2" width="24.265625" style="1" customWidth="1"/>
    <col min="3" max="3" width="9.06640625" style="1"/>
    <col min="4" max="4" width="10.1328125" style="1" bestFit="1" customWidth="1"/>
    <col min="5" max="5" width="9.06640625" style="1"/>
    <col min="6" max="6" width="22.86328125" style="1" customWidth="1"/>
    <col min="7" max="16384" width="9.06640625" style="1"/>
  </cols>
  <sheetData>
    <row r="1" spans="1:6" ht="13.15">
      <c r="A1" s="308" t="s">
        <v>330</v>
      </c>
      <c r="B1" s="309"/>
      <c r="C1" s="309"/>
      <c r="D1" s="309"/>
      <c r="E1" s="309"/>
      <c r="F1" s="310"/>
    </row>
    <row r="2" spans="1:6">
      <c r="A2" s="33"/>
      <c r="F2" s="57"/>
    </row>
    <row r="3" spans="1:6" ht="13.15">
      <c r="A3" s="217" t="s">
        <v>215</v>
      </c>
      <c r="B3" s="216"/>
      <c r="C3" s="206" t="s">
        <v>203</v>
      </c>
      <c r="D3" s="215"/>
      <c r="E3" s="202" t="s">
        <v>214</v>
      </c>
      <c r="F3" s="214" t="s">
        <v>213</v>
      </c>
    </row>
    <row r="4" spans="1:6" ht="13.15">
      <c r="A4" s="213" t="s">
        <v>212</v>
      </c>
      <c r="B4" s="66" t="s">
        <v>211</v>
      </c>
      <c r="C4" s="212" t="s">
        <v>210</v>
      </c>
      <c r="D4" s="211"/>
      <c r="E4" s="211"/>
      <c r="F4" s="210"/>
    </row>
    <row r="5" spans="1:6" ht="26.25">
      <c r="A5" s="209" t="s">
        <v>209</v>
      </c>
      <c r="B5" s="66" t="s">
        <v>208</v>
      </c>
      <c r="C5" s="208" t="s">
        <v>207</v>
      </c>
      <c r="D5" s="208" t="s">
        <v>206</v>
      </c>
      <c r="E5" s="208" t="s">
        <v>205</v>
      </c>
      <c r="F5" s="208" t="s">
        <v>204</v>
      </c>
    </row>
    <row r="6" spans="1:6">
      <c r="A6" s="208">
        <v>1</v>
      </c>
      <c r="B6" s="26"/>
      <c r="C6" s="26"/>
      <c r="D6" s="26"/>
      <c r="E6" s="26"/>
      <c r="F6" s="26"/>
    </row>
    <row r="7" spans="1:6">
      <c r="A7" s="208">
        <v>2</v>
      </c>
      <c r="B7" s="26"/>
      <c r="C7" s="26"/>
      <c r="D7" s="26"/>
      <c r="E7" s="26"/>
      <c r="F7" s="26"/>
    </row>
    <row r="8" spans="1:6">
      <c r="A8" s="208">
        <v>3</v>
      </c>
      <c r="B8" s="26"/>
      <c r="C8" s="26"/>
      <c r="D8" s="26"/>
      <c r="E8" s="26"/>
      <c r="F8" s="26"/>
    </row>
    <row r="9" spans="1:6">
      <c r="A9" s="208">
        <v>4</v>
      </c>
      <c r="B9" s="26"/>
      <c r="C9" s="26"/>
      <c r="D9" s="26"/>
      <c r="E9" s="26"/>
      <c r="F9" s="26"/>
    </row>
    <row r="10" spans="1:6">
      <c r="A10" s="208">
        <v>5</v>
      </c>
      <c r="B10" s="26"/>
      <c r="C10" s="26"/>
      <c r="D10" s="26"/>
      <c r="E10" s="26"/>
      <c r="F10" s="26"/>
    </row>
    <row r="11" spans="1:6">
      <c r="A11" s="208">
        <v>6</v>
      </c>
      <c r="B11" s="26"/>
      <c r="C11" s="26"/>
      <c r="D11" s="26"/>
      <c r="E11" s="26"/>
      <c r="F11" s="26"/>
    </row>
    <row r="12" spans="1:6">
      <c r="A12" s="208">
        <v>7</v>
      </c>
      <c r="B12" s="26"/>
      <c r="C12" s="26"/>
      <c r="D12" s="26"/>
      <c r="E12" s="26"/>
      <c r="F12" s="26"/>
    </row>
    <row r="13" spans="1:6">
      <c r="A13" s="208">
        <v>8</v>
      </c>
      <c r="B13" s="26"/>
      <c r="C13" s="26"/>
      <c r="D13" s="26"/>
      <c r="E13" s="26"/>
      <c r="F13" s="26"/>
    </row>
    <row r="14" spans="1:6">
      <c r="A14" s="208">
        <v>9</v>
      </c>
      <c r="B14" s="26"/>
      <c r="C14" s="26"/>
      <c r="D14" s="26"/>
      <c r="E14" s="26"/>
      <c r="F14" s="26"/>
    </row>
    <row r="15" spans="1:6">
      <c r="A15" s="208">
        <v>10</v>
      </c>
      <c r="B15" s="26"/>
      <c r="C15" s="26"/>
      <c r="D15" s="26"/>
      <c r="E15" s="26"/>
      <c r="F15" s="26"/>
    </row>
    <row r="16" spans="1:6">
      <c r="A16" s="208">
        <v>11</v>
      </c>
      <c r="B16" s="26"/>
      <c r="C16" s="26"/>
      <c r="D16" s="26"/>
      <c r="E16" s="26"/>
      <c r="F16" s="26"/>
    </row>
    <row r="17" spans="1:6">
      <c r="A17" s="208">
        <v>12</v>
      </c>
      <c r="B17" s="26"/>
      <c r="C17" s="26"/>
      <c r="D17" s="26"/>
      <c r="E17" s="26"/>
      <c r="F17" s="26"/>
    </row>
    <row r="18" spans="1:6">
      <c r="A18" s="208">
        <v>13</v>
      </c>
      <c r="B18" s="26"/>
      <c r="C18" s="26"/>
      <c r="D18" s="26"/>
      <c r="E18" s="26"/>
      <c r="F18" s="26"/>
    </row>
    <row r="19" spans="1:6">
      <c r="A19" s="208">
        <v>14</v>
      </c>
      <c r="B19" s="26"/>
      <c r="C19" s="26"/>
      <c r="D19" s="26"/>
      <c r="E19" s="26"/>
      <c r="F19" s="26"/>
    </row>
    <row r="20" spans="1:6">
      <c r="A20" s="208">
        <v>15</v>
      </c>
      <c r="B20" s="26"/>
      <c r="C20" s="26"/>
      <c r="D20" s="26"/>
      <c r="E20" s="26"/>
      <c r="F20" s="26"/>
    </row>
    <row r="21" spans="1:6">
      <c r="A21" s="208">
        <v>16</v>
      </c>
      <c r="B21" s="26"/>
      <c r="C21" s="26"/>
      <c r="D21" s="26"/>
      <c r="E21" s="26"/>
      <c r="F21" s="26"/>
    </row>
    <row r="22" spans="1:6">
      <c r="A22" s="208">
        <v>17</v>
      </c>
      <c r="B22" s="26"/>
      <c r="C22" s="26"/>
      <c r="D22" s="26"/>
      <c r="E22" s="26"/>
      <c r="F22" s="26"/>
    </row>
    <row r="23" spans="1:6">
      <c r="A23" s="208">
        <v>18</v>
      </c>
      <c r="B23" s="26"/>
      <c r="C23" s="26"/>
      <c r="D23" s="26"/>
      <c r="E23" s="26"/>
      <c r="F23" s="26"/>
    </row>
    <row r="24" spans="1:6">
      <c r="A24" s="208">
        <v>19</v>
      </c>
      <c r="B24" s="26"/>
      <c r="C24" s="26"/>
      <c r="D24" s="26"/>
      <c r="E24" s="26"/>
      <c r="F24" s="26"/>
    </row>
    <row r="25" spans="1:6">
      <c r="A25" s="208">
        <v>20</v>
      </c>
      <c r="B25" s="26"/>
      <c r="C25" s="26"/>
      <c r="D25" s="26"/>
      <c r="E25" s="26"/>
      <c r="F25" s="26"/>
    </row>
    <row r="26" spans="1:6">
      <c r="A26" s="208">
        <v>21</v>
      </c>
      <c r="B26" s="26"/>
      <c r="C26" s="26"/>
      <c r="D26" s="26"/>
      <c r="E26" s="26"/>
      <c r="F26" s="26"/>
    </row>
    <row r="27" spans="1:6">
      <c r="A27" s="208">
        <v>22</v>
      </c>
      <c r="B27" s="26"/>
      <c r="C27" s="26"/>
      <c r="D27" s="26"/>
      <c r="E27" s="26"/>
      <c r="F27" s="26"/>
    </row>
    <row r="28" spans="1:6">
      <c r="A28" s="208">
        <v>23</v>
      </c>
      <c r="B28" s="26"/>
      <c r="C28" s="26"/>
      <c r="D28" s="26"/>
      <c r="E28" s="26"/>
      <c r="F28" s="26"/>
    </row>
    <row r="29" spans="1:6">
      <c r="A29" s="208">
        <v>24</v>
      </c>
      <c r="B29" s="26"/>
      <c r="C29" s="26"/>
      <c r="D29" s="26"/>
      <c r="E29" s="26"/>
      <c r="F29" s="26"/>
    </row>
    <row r="30" spans="1:6">
      <c r="A30" s="208">
        <v>25</v>
      </c>
      <c r="B30" s="26"/>
      <c r="C30" s="26"/>
      <c r="D30" s="26"/>
      <c r="E30" s="26"/>
      <c r="F30" s="26"/>
    </row>
    <row r="31" spans="1:6">
      <c r="A31" s="208">
        <v>26</v>
      </c>
      <c r="B31" s="26"/>
      <c r="C31" s="26"/>
      <c r="D31" s="26"/>
      <c r="E31" s="26"/>
      <c r="F31" s="26"/>
    </row>
    <row r="32" spans="1:6">
      <c r="A32" s="208">
        <v>27</v>
      </c>
      <c r="B32" s="26"/>
      <c r="C32" s="26"/>
      <c r="D32" s="26"/>
      <c r="E32" s="26"/>
      <c r="F32" s="26"/>
    </row>
    <row r="33" spans="1:6">
      <c r="A33" s="208">
        <v>28</v>
      </c>
      <c r="B33" s="26"/>
      <c r="C33" s="26"/>
      <c r="D33" s="26"/>
      <c r="E33" s="26"/>
      <c r="F33" s="26"/>
    </row>
    <row r="34" spans="1:6">
      <c r="A34" s="208">
        <v>29</v>
      </c>
      <c r="B34" s="26"/>
      <c r="C34" s="26"/>
      <c r="D34" s="26"/>
      <c r="E34" s="26"/>
      <c r="F34" s="26"/>
    </row>
    <row r="35" spans="1:6">
      <c r="A35" s="208">
        <v>30</v>
      </c>
      <c r="B35" s="26"/>
      <c r="C35" s="26"/>
      <c r="D35" s="26"/>
      <c r="E35" s="26"/>
      <c r="F35" s="26"/>
    </row>
    <row r="36" spans="1:6">
      <c r="A36" s="208">
        <v>31</v>
      </c>
      <c r="B36" s="26"/>
      <c r="C36" s="26"/>
      <c r="D36" s="26"/>
      <c r="E36" s="26"/>
      <c r="F36" s="26"/>
    </row>
    <row r="37" spans="1:6">
      <c r="A37" s="208">
        <v>32</v>
      </c>
      <c r="B37" s="26"/>
      <c r="C37" s="26"/>
      <c r="D37" s="26"/>
      <c r="E37" s="26"/>
      <c r="F37" s="26"/>
    </row>
    <row r="38" spans="1:6">
      <c r="A38" s="208">
        <v>33</v>
      </c>
      <c r="B38" s="26"/>
      <c r="C38" s="26"/>
      <c r="D38" s="26"/>
      <c r="E38" s="26"/>
      <c r="F38" s="26"/>
    </row>
    <row r="39" spans="1:6">
      <c r="A39" s="208">
        <v>34</v>
      </c>
      <c r="B39" s="26"/>
      <c r="C39" s="26"/>
      <c r="D39" s="26"/>
      <c r="E39" s="26"/>
      <c r="F39" s="26"/>
    </row>
    <row r="40" spans="1:6">
      <c r="A40" s="208">
        <v>35</v>
      </c>
      <c r="B40" s="26"/>
      <c r="C40" s="26"/>
      <c r="D40" s="26"/>
      <c r="E40" s="26"/>
      <c r="F40" s="26"/>
    </row>
    <row r="41" spans="1:6">
      <c r="A41" s="208">
        <v>36</v>
      </c>
      <c r="B41" s="26"/>
      <c r="C41" s="26"/>
      <c r="D41" s="26"/>
      <c r="E41" s="26"/>
      <c r="F41" s="26"/>
    </row>
    <row r="42" spans="1:6">
      <c r="A42" s="208">
        <v>37</v>
      </c>
      <c r="B42" s="26"/>
      <c r="C42" s="26"/>
      <c r="D42" s="26"/>
      <c r="E42" s="26"/>
      <c r="F42" s="26"/>
    </row>
    <row r="43" spans="1:6">
      <c r="A43" s="208">
        <v>38</v>
      </c>
      <c r="B43" s="26"/>
      <c r="C43" s="26"/>
      <c r="D43" s="26"/>
      <c r="E43" s="26"/>
      <c r="F43" s="26"/>
    </row>
    <row r="44" spans="1:6">
      <c r="A44" s="208">
        <v>39</v>
      </c>
      <c r="B44" s="26"/>
      <c r="C44" s="26"/>
      <c r="D44" s="26"/>
      <c r="E44" s="26"/>
      <c r="F44" s="26"/>
    </row>
    <row r="45" spans="1:6">
      <c r="A45" s="208">
        <v>40</v>
      </c>
      <c r="B45" s="26"/>
      <c r="C45" s="26"/>
      <c r="D45" s="26"/>
      <c r="E45" s="26"/>
      <c r="F45" s="26"/>
    </row>
    <row r="46" spans="1:6">
      <c r="A46" s="208">
        <v>41</v>
      </c>
      <c r="B46" s="26"/>
      <c r="C46" s="26"/>
      <c r="D46" s="26"/>
      <c r="E46" s="26"/>
      <c r="F46" s="26"/>
    </row>
    <row r="47" spans="1:6">
      <c r="A47" s="208">
        <v>42</v>
      </c>
      <c r="B47" s="26"/>
      <c r="C47" s="26"/>
      <c r="D47" s="26"/>
      <c r="E47" s="26"/>
      <c r="F47" s="26"/>
    </row>
    <row r="48" spans="1:6">
      <c r="A48" s="208">
        <v>43</v>
      </c>
      <c r="B48" s="26"/>
      <c r="C48" s="26"/>
      <c r="D48" s="26"/>
      <c r="E48" s="26"/>
      <c r="F48" s="26"/>
    </row>
    <row r="49" spans="1:6">
      <c r="A49" s="208">
        <v>44</v>
      </c>
      <c r="B49" s="26"/>
      <c r="C49" s="26"/>
      <c r="D49" s="26"/>
      <c r="E49" s="26"/>
      <c r="F49" s="26"/>
    </row>
    <row r="50" spans="1:6">
      <c r="A50" s="208">
        <v>45</v>
      </c>
      <c r="B50" s="26"/>
      <c r="C50" s="26"/>
      <c r="D50" s="26"/>
      <c r="E50" s="26"/>
      <c r="F50" s="26"/>
    </row>
    <row r="51" spans="1:6">
      <c r="A51" s="208">
        <v>46</v>
      </c>
      <c r="B51" s="26"/>
      <c r="C51" s="26"/>
      <c r="D51" s="26"/>
      <c r="E51" s="26"/>
      <c r="F51" s="26"/>
    </row>
  </sheetData>
  <mergeCells count="1">
    <mergeCell ref="A1:F1"/>
  </mergeCells>
  <pageMargins left="0.75" right="0.75" top="1" bottom="1" header="0.5" footer="0.5"/>
  <pageSetup orientation="portrait" verticalDpi="4294967293" r:id="rId1"/>
  <headerFooter alignWithMargins="0">
    <oddFooter>&amp;LRev Date &amp;D&amp;RRevision Code 0.0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2FB7-86F2-4898-9534-C847B6730F04}">
  <sheetPr codeName="Sheet16"/>
  <dimension ref="A1:G51"/>
  <sheetViews>
    <sheetView showGridLines="0" workbookViewId="0">
      <selection activeCell="C8" sqref="C8"/>
    </sheetView>
  </sheetViews>
  <sheetFormatPr defaultRowHeight="12.75"/>
  <cols>
    <col min="1" max="1" width="18.59765625" style="1" customWidth="1"/>
    <col min="2" max="2" width="31.86328125" style="1" customWidth="1"/>
    <col min="3" max="3" width="18.73046875" style="1" customWidth="1"/>
    <col min="4" max="4" width="20.1328125" style="1" customWidth="1"/>
    <col min="5" max="5" width="8.59765625" style="1" customWidth="1"/>
    <col min="6" max="6" width="7.59765625" style="1" customWidth="1"/>
    <col min="7" max="16384" width="9.06640625" style="1"/>
  </cols>
  <sheetData>
    <row r="1" spans="1:7" ht="15">
      <c r="A1" s="301"/>
      <c r="B1" s="13"/>
      <c r="C1" s="300" t="s">
        <v>312</v>
      </c>
      <c r="D1" s="300"/>
      <c r="E1" s="13"/>
      <c r="F1" s="13"/>
      <c r="G1" s="15"/>
    </row>
    <row r="2" spans="1:7" ht="15">
      <c r="A2" s="276"/>
      <c r="C2" s="207"/>
      <c r="D2" s="207"/>
      <c r="G2" s="57"/>
    </row>
    <row r="3" spans="1:7">
      <c r="A3" s="299" t="s">
        <v>311</v>
      </c>
      <c r="B3" s="273"/>
      <c r="C3" s="273"/>
      <c r="D3" s="273"/>
      <c r="E3" s="273"/>
      <c r="F3" s="273"/>
      <c r="G3" s="279"/>
    </row>
    <row r="4" spans="1:7">
      <c r="A4" s="299" t="s">
        <v>329</v>
      </c>
      <c r="B4" s="273"/>
      <c r="C4" s="273"/>
      <c r="D4" s="273"/>
      <c r="E4" s="273"/>
      <c r="F4" s="273"/>
      <c r="G4" s="279"/>
    </row>
    <row r="5" spans="1:7">
      <c r="A5" s="299" t="s">
        <v>310</v>
      </c>
      <c r="B5" s="273"/>
      <c r="C5" s="273"/>
      <c r="D5" s="273"/>
      <c r="E5" s="273"/>
      <c r="F5" s="273"/>
      <c r="G5" s="279"/>
    </row>
    <row r="6" spans="1:7" ht="20.25" customHeight="1">
      <c r="A6" s="298" t="s">
        <v>309</v>
      </c>
      <c r="B6" s="294"/>
      <c r="C6" s="205" t="s">
        <v>202</v>
      </c>
      <c r="D6" s="294"/>
      <c r="E6" s="275"/>
      <c r="F6" s="275"/>
      <c r="G6" s="279"/>
    </row>
    <row r="7" spans="1:7" ht="8.1" customHeight="1">
      <c r="A7" s="33"/>
      <c r="B7" s="228"/>
      <c r="C7" s="207"/>
      <c r="D7" s="207"/>
      <c r="G7" s="57"/>
    </row>
    <row r="8" spans="1:7">
      <c r="A8" s="276" t="s">
        <v>308</v>
      </c>
      <c r="B8" s="294">
        <f>'[1]Common Data'!$B$3</f>
        <v>123</v>
      </c>
      <c r="D8" s="280" t="s">
        <v>306</v>
      </c>
      <c r="E8" s="294" t="str">
        <f>'[1]Common Data'!B6</f>
        <v>Revision Code 0.0</v>
      </c>
      <c r="F8" s="203" t="s">
        <v>305</v>
      </c>
      <c r="G8" s="296"/>
    </row>
    <row r="9" spans="1:7" ht="8.1" customHeight="1">
      <c r="A9" s="276"/>
      <c r="B9" s="295"/>
      <c r="C9" s="273"/>
      <c r="D9" s="273"/>
      <c r="E9" s="295"/>
      <c r="F9" s="273"/>
      <c r="G9" s="297"/>
    </row>
    <row r="10" spans="1:7">
      <c r="A10" s="276" t="s">
        <v>307</v>
      </c>
      <c r="B10" s="294">
        <f>'[1]Common Data'!$B$20</f>
        <v>234</v>
      </c>
      <c r="C10" s="203"/>
      <c r="D10" s="280" t="s">
        <v>306</v>
      </c>
      <c r="E10" s="294" t="str">
        <f>'[1]Common Data'!B6</f>
        <v>Revision Code 0.0</v>
      </c>
      <c r="F10" s="203" t="s">
        <v>305</v>
      </c>
      <c r="G10" s="296"/>
    </row>
    <row r="11" spans="1:7" ht="8.1" customHeight="1">
      <c r="A11" s="276"/>
      <c r="B11" s="295"/>
      <c r="C11" s="273"/>
      <c r="D11" s="273"/>
      <c r="E11" s="273"/>
      <c r="F11" s="273"/>
      <c r="G11" s="279"/>
    </row>
    <row r="12" spans="1:7">
      <c r="A12" s="276" t="s">
        <v>304</v>
      </c>
      <c r="B12" s="294">
        <f>'[1]Common Data'!$B$19</f>
        <v>456</v>
      </c>
      <c r="C12" s="273"/>
      <c r="D12" s="273" t="s">
        <v>303</v>
      </c>
      <c r="E12" s="280"/>
      <c r="F12" s="275"/>
      <c r="G12" s="274"/>
    </row>
    <row r="13" spans="1:7" ht="8.1" customHeight="1">
      <c r="A13" s="276"/>
      <c r="B13" s="295"/>
      <c r="C13" s="273"/>
      <c r="D13" s="273"/>
      <c r="E13" s="273"/>
      <c r="F13" s="273"/>
      <c r="G13" s="279"/>
    </row>
    <row r="14" spans="1:7">
      <c r="A14" s="276" t="s">
        <v>302</v>
      </c>
      <c r="B14" s="294"/>
      <c r="C14" s="273"/>
      <c r="D14" s="273"/>
      <c r="E14" s="280"/>
      <c r="F14" s="273"/>
      <c r="G14" s="279"/>
    </row>
    <row r="15" spans="1:7" ht="8.1" customHeight="1">
      <c r="A15" s="276"/>
      <c r="B15" s="273"/>
      <c r="C15" s="280"/>
      <c r="D15" s="280"/>
      <c r="E15" s="273"/>
      <c r="F15" s="273"/>
      <c r="G15" s="279"/>
    </row>
    <row r="16" spans="1:7">
      <c r="A16" s="293" t="s">
        <v>301</v>
      </c>
      <c r="B16" s="273"/>
      <c r="D16" s="292"/>
      <c r="E16" s="273"/>
      <c r="F16" s="273"/>
      <c r="G16" s="279"/>
    </row>
    <row r="17" spans="1:7">
      <c r="A17" s="276" t="s">
        <v>176</v>
      </c>
      <c r="B17" s="275" t="str">
        <f>'[1]Common Data'!$B$9</f>
        <v>Supplier</v>
      </c>
      <c r="C17" s="273"/>
      <c r="G17" s="57"/>
    </row>
    <row r="18" spans="1:7">
      <c r="A18" s="276" t="s">
        <v>300</v>
      </c>
      <c r="B18" s="275" t="str">
        <f>'[1]Common Data'!$B$11</f>
        <v>123 Street</v>
      </c>
      <c r="G18" s="57"/>
    </row>
    <row r="19" spans="1:7">
      <c r="A19" s="276" t="s">
        <v>299</v>
      </c>
      <c r="B19" s="291" t="str">
        <f>'[1]Common Data'!$B$12&amp;" "&amp;'[1]Common Data'!$B$13&amp;" "&amp;'[1]Common Data'!$B$14</f>
        <v>City ST 12345</v>
      </c>
      <c r="G19" s="57"/>
    </row>
    <row r="20" spans="1:7" ht="8.1" customHeight="1">
      <c r="A20" s="276"/>
      <c r="B20" s="273"/>
      <c r="C20" s="273"/>
      <c r="D20" s="273"/>
      <c r="E20" s="273"/>
      <c r="F20" s="273"/>
      <c r="G20" s="279"/>
    </row>
    <row r="21" spans="1:7">
      <c r="A21" s="290" t="s">
        <v>298</v>
      </c>
      <c r="B21" s="275"/>
      <c r="C21" s="273"/>
      <c r="D21" s="198" t="s">
        <v>297</v>
      </c>
      <c r="F21" s="273"/>
      <c r="G21" s="279"/>
    </row>
    <row r="22" spans="1:7">
      <c r="A22" s="276" t="s">
        <v>296</v>
      </c>
      <c r="B22" s="273"/>
      <c r="C22" s="273"/>
      <c r="D22" s="273" t="s">
        <v>295</v>
      </c>
      <c r="F22" s="273"/>
      <c r="G22" s="279"/>
    </row>
    <row r="23" spans="1:7">
      <c r="A23" s="276" t="s">
        <v>294</v>
      </c>
      <c r="B23" s="273"/>
      <c r="C23" s="273"/>
      <c r="D23" s="273" t="s">
        <v>293</v>
      </c>
      <c r="F23" s="273"/>
      <c r="G23" s="279"/>
    </row>
    <row r="24" spans="1:7">
      <c r="A24" s="276" t="s">
        <v>292</v>
      </c>
      <c r="B24" s="273"/>
      <c r="C24" s="273"/>
      <c r="D24" s="273" t="s">
        <v>291</v>
      </c>
      <c r="F24" s="273"/>
      <c r="G24" s="279"/>
    </row>
    <row r="25" spans="1:7">
      <c r="A25" s="285" t="s">
        <v>290</v>
      </c>
      <c r="B25" s="288" t="s">
        <v>104</v>
      </c>
      <c r="C25" s="273" t="s">
        <v>5</v>
      </c>
      <c r="D25" s="273" t="s">
        <v>289</v>
      </c>
      <c r="F25" s="273"/>
      <c r="G25" s="279"/>
    </row>
    <row r="26" spans="1:7" ht="8.1" customHeight="1">
      <c r="A26" s="276"/>
      <c r="B26" s="273"/>
      <c r="C26" s="273"/>
      <c r="D26" s="273"/>
      <c r="E26" s="273"/>
      <c r="F26" s="273"/>
      <c r="G26" s="279"/>
    </row>
    <row r="27" spans="1:7">
      <c r="A27" s="285" t="s">
        <v>288</v>
      </c>
      <c r="B27" s="273"/>
      <c r="C27" s="273"/>
      <c r="D27" s="273"/>
      <c r="E27" s="273"/>
      <c r="F27" s="273"/>
      <c r="G27" s="279"/>
    </row>
    <row r="28" spans="1:7">
      <c r="A28" s="289" t="s">
        <v>287</v>
      </c>
      <c r="B28" s="288" t="s">
        <v>286</v>
      </c>
      <c r="C28" s="273"/>
      <c r="D28" s="273" t="s">
        <v>285</v>
      </c>
      <c r="E28" s="273"/>
      <c r="F28" s="273"/>
      <c r="G28" s="279"/>
    </row>
    <row r="29" spans="1:7">
      <c r="A29" s="289"/>
      <c r="B29" s="288"/>
      <c r="C29" s="273"/>
      <c r="D29" s="273"/>
      <c r="E29" s="273"/>
      <c r="F29" s="273"/>
      <c r="G29" s="279"/>
    </row>
    <row r="30" spans="1:7">
      <c r="A30" s="285" t="s">
        <v>284</v>
      </c>
      <c r="B30" s="273"/>
      <c r="C30" s="275"/>
      <c r="D30" s="273"/>
      <c r="E30" s="273"/>
      <c r="F30" s="273"/>
      <c r="G30" s="279"/>
    </row>
    <row r="31" spans="1:7">
      <c r="A31" s="285"/>
      <c r="B31" s="273"/>
      <c r="C31" s="273"/>
      <c r="D31" s="273"/>
      <c r="E31" s="273"/>
      <c r="F31" s="273"/>
      <c r="G31" s="279"/>
    </row>
    <row r="32" spans="1:7">
      <c r="A32" s="285" t="s">
        <v>283</v>
      </c>
      <c r="B32" s="273"/>
      <c r="C32" s="273"/>
      <c r="D32" s="273"/>
      <c r="E32" s="287"/>
      <c r="G32" s="279"/>
    </row>
    <row r="33" spans="1:7" ht="15" customHeight="1">
      <c r="A33" s="7"/>
      <c r="B33" s="6"/>
      <c r="C33" s="6"/>
      <c r="D33" s="6"/>
      <c r="E33" s="6"/>
      <c r="F33" s="6"/>
      <c r="G33" s="274"/>
    </row>
    <row r="34" spans="1:7" ht="15" customHeight="1">
      <c r="A34" s="17"/>
      <c r="B34" s="16"/>
      <c r="C34" s="16"/>
      <c r="D34" s="16"/>
      <c r="E34" s="16"/>
      <c r="F34" s="16"/>
      <c r="G34" s="286"/>
    </row>
    <row r="35" spans="1:7" ht="15" customHeight="1">
      <c r="A35" s="17"/>
      <c r="B35" s="16"/>
      <c r="C35" s="16"/>
      <c r="D35" s="16"/>
      <c r="E35" s="16"/>
      <c r="F35" s="16"/>
      <c r="G35" s="286"/>
    </row>
    <row r="36" spans="1:7">
      <c r="A36" s="33"/>
      <c r="G36" s="279"/>
    </row>
    <row r="37" spans="1:7">
      <c r="A37" s="285" t="s">
        <v>282</v>
      </c>
      <c r="B37" s="273"/>
      <c r="C37" s="275"/>
      <c r="D37" s="273"/>
      <c r="E37" s="273"/>
      <c r="F37" s="273"/>
      <c r="G37" s="279"/>
    </row>
    <row r="38" spans="1:7">
      <c r="A38" s="285" t="s">
        <v>281</v>
      </c>
      <c r="B38" s="273"/>
      <c r="C38" s="273"/>
      <c r="D38" s="273"/>
      <c r="E38" s="273"/>
      <c r="F38" s="273"/>
      <c r="G38" s="279"/>
    </row>
    <row r="39" spans="1:7">
      <c r="A39" s="284" t="s">
        <v>280</v>
      </c>
      <c r="B39" s="273"/>
      <c r="C39" s="273"/>
      <c r="D39" s="273"/>
      <c r="E39" s="273"/>
      <c r="F39" s="273"/>
      <c r="G39" s="279"/>
    </row>
    <row r="40" spans="1:7">
      <c r="A40" s="284" t="s">
        <v>279</v>
      </c>
      <c r="B40" s="273"/>
      <c r="C40" s="273"/>
      <c r="D40" s="273"/>
      <c r="E40" s="273"/>
      <c r="F40" s="273"/>
      <c r="G40" s="279"/>
    </row>
    <row r="41" spans="1:7">
      <c r="A41" s="284" t="s">
        <v>278</v>
      </c>
      <c r="B41" s="273"/>
      <c r="C41" s="273"/>
      <c r="D41" s="273"/>
      <c r="E41" s="273"/>
      <c r="F41" s="273"/>
      <c r="G41" s="279"/>
    </row>
    <row r="42" spans="1:7" ht="15" customHeight="1">
      <c r="A42" s="276" t="s">
        <v>277</v>
      </c>
      <c r="B42" s="275"/>
      <c r="C42" s="275"/>
      <c r="D42" s="275"/>
      <c r="E42" s="275"/>
      <c r="F42" s="275"/>
      <c r="G42" s="274"/>
    </row>
    <row r="43" spans="1:7" ht="15" customHeight="1">
      <c r="A43" s="276"/>
      <c r="B43" s="275"/>
      <c r="C43" s="275"/>
      <c r="D43" s="275"/>
      <c r="E43" s="275"/>
      <c r="F43" s="275"/>
      <c r="G43" s="274"/>
    </row>
    <row r="44" spans="1:7" ht="15" customHeight="1">
      <c r="A44" s="276" t="s">
        <v>176</v>
      </c>
      <c r="B44" s="6"/>
      <c r="C44" s="280" t="s">
        <v>276</v>
      </c>
      <c r="D44" s="283"/>
      <c r="E44" s="283"/>
      <c r="F44" s="282"/>
      <c r="G44" s="279"/>
    </row>
    <row r="45" spans="1:7" ht="15" customHeight="1">
      <c r="A45" s="276" t="s">
        <v>275</v>
      </c>
      <c r="B45" s="275"/>
      <c r="C45" s="280" t="s">
        <v>274</v>
      </c>
      <c r="D45" s="275"/>
      <c r="E45" s="6"/>
      <c r="F45" s="6"/>
      <c r="G45" s="279"/>
    </row>
    <row r="46" spans="1:7" ht="15" customHeight="1">
      <c r="A46" s="276" t="s">
        <v>273</v>
      </c>
      <c r="B46" s="273"/>
      <c r="C46" s="280" t="s">
        <v>203</v>
      </c>
      <c r="D46" s="6"/>
      <c r="G46" s="57"/>
    </row>
    <row r="47" spans="1:7" ht="15" customHeight="1">
      <c r="A47" s="281" t="s">
        <v>272</v>
      </c>
      <c r="B47" s="273"/>
      <c r="C47" s="280"/>
      <c r="F47" s="273"/>
      <c r="G47" s="279"/>
    </row>
    <row r="48" spans="1:7">
      <c r="A48" s="33"/>
      <c r="B48" s="273"/>
      <c r="D48" s="278"/>
      <c r="E48" s="278"/>
      <c r="F48" s="13"/>
      <c r="G48" s="277"/>
    </row>
    <row r="49" spans="1:7">
      <c r="A49" s="276" t="s">
        <v>271</v>
      </c>
      <c r="B49" s="273"/>
      <c r="G49" s="57"/>
    </row>
    <row r="50" spans="1:7">
      <c r="A50" s="7"/>
      <c r="B50" s="275"/>
      <c r="C50" s="275"/>
      <c r="D50" s="275"/>
      <c r="E50" s="275"/>
      <c r="F50" s="275"/>
      <c r="G50" s="274"/>
    </row>
    <row r="51" spans="1:7">
      <c r="B51" s="273"/>
      <c r="C51" s="273"/>
      <c r="D51" s="273"/>
      <c r="E51" s="273"/>
      <c r="F51" s="273"/>
      <c r="G51" s="273"/>
    </row>
  </sheetData>
  <pageMargins left="0.5" right="0.5" top="0.75" bottom="0.75" header="0.5" footer="0.5"/>
  <pageSetup scale="85" orientation="portrait" horizontalDpi="300" verticalDpi="300" r:id="rId1"/>
  <headerFooter alignWithMargins="0">
    <oddFooter>&amp;RRevision Code 0.0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2</xdr:col>
                    <xdr:colOff>1309688</xdr:colOff>
                    <xdr:row>20</xdr:row>
                    <xdr:rowOff>133350</xdr:rowOff>
                  </from>
                  <to>
                    <xdr:col>3</xdr:col>
                    <xdr:colOff>295275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2</xdr:col>
                    <xdr:colOff>1309688</xdr:colOff>
                    <xdr:row>21</xdr:row>
                    <xdr:rowOff>133350</xdr:rowOff>
                  </from>
                  <to>
                    <xdr:col>3</xdr:col>
                    <xdr:colOff>295275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2</xdr:col>
                    <xdr:colOff>1309688</xdr:colOff>
                    <xdr:row>22</xdr:row>
                    <xdr:rowOff>133350</xdr:rowOff>
                  </from>
                  <to>
                    <xdr:col>3</xdr:col>
                    <xdr:colOff>295275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2</xdr:col>
                    <xdr:colOff>1309688</xdr:colOff>
                    <xdr:row>23</xdr:row>
                    <xdr:rowOff>133350</xdr:rowOff>
                  </from>
                  <to>
                    <xdr:col>3</xdr:col>
                    <xdr:colOff>295275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1</xdr:col>
                    <xdr:colOff>623888</xdr:colOff>
                    <xdr:row>23</xdr:row>
                    <xdr:rowOff>133350</xdr:rowOff>
                  </from>
                  <to>
                    <xdr:col>1</xdr:col>
                    <xdr:colOff>947738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1</xdr:col>
                    <xdr:colOff>2043113</xdr:colOff>
                    <xdr:row>23</xdr:row>
                    <xdr:rowOff>133350</xdr:rowOff>
                  </from>
                  <to>
                    <xdr:col>2</xdr:col>
                    <xdr:colOff>90488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0</xdr:col>
                    <xdr:colOff>223838</xdr:colOff>
                    <xdr:row>26</xdr:row>
                    <xdr:rowOff>142875</xdr:rowOff>
                  </from>
                  <to>
                    <xdr:col>0</xdr:col>
                    <xdr:colOff>552450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1" name="Check Box 9">
              <controlPr defaultSize="0" autoFill="0" autoLine="0" autoPict="0">
                <anchor moveWithCells="1">
                  <from>
                    <xdr:col>1</xdr:col>
                    <xdr:colOff>195263</xdr:colOff>
                    <xdr:row>26</xdr:row>
                    <xdr:rowOff>133350</xdr:rowOff>
                  </from>
                  <to>
                    <xdr:col>1</xdr:col>
                    <xdr:colOff>519113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2" name="Check Box 10">
              <controlPr defaultSize="0" autoFill="0" autoLine="0" autoPict="0">
                <anchor moveWithCells="1">
                  <from>
                    <xdr:col>2</xdr:col>
                    <xdr:colOff>1114425</xdr:colOff>
                    <xdr:row>26</xdr:row>
                    <xdr:rowOff>142875</xdr:rowOff>
                  </from>
                  <to>
                    <xdr:col>3</xdr:col>
                    <xdr:colOff>104775</xdr:colOff>
                    <xdr:row>28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67F1-9640-4F8B-B38C-133BC106416F}">
  <sheetPr codeName="Sheet9"/>
  <dimension ref="A1:H35"/>
  <sheetViews>
    <sheetView showGridLines="0" tabSelected="1" workbookViewId="0">
      <selection activeCell="G9" sqref="G9"/>
    </sheetView>
  </sheetViews>
  <sheetFormatPr defaultRowHeight="12.75"/>
  <cols>
    <col min="1" max="1" width="6" style="1" customWidth="1"/>
    <col min="2" max="2" width="21.59765625" style="1" customWidth="1"/>
    <col min="3" max="3" width="24.73046875" style="1" customWidth="1"/>
    <col min="4" max="4" width="6.86328125" style="1" customWidth="1"/>
    <col min="5" max="5" width="6.265625" style="1" customWidth="1"/>
    <col min="6" max="6" width="24.73046875" style="1" customWidth="1"/>
    <col min="7" max="8" width="5.73046875" style="1" customWidth="1"/>
    <col min="9" max="16384" width="9.06640625" style="1"/>
  </cols>
  <sheetData>
    <row r="1" spans="1:8" ht="17.649999999999999">
      <c r="E1" s="65" t="s">
        <v>328</v>
      </c>
    </row>
    <row r="2" spans="1:8" ht="17.649999999999999">
      <c r="E2" s="65" t="s">
        <v>327</v>
      </c>
      <c r="F2" s="226"/>
      <c r="G2" s="226" t="s">
        <v>326</v>
      </c>
    </row>
    <row r="3" spans="1:8">
      <c r="A3" s="14" t="s">
        <v>5</v>
      </c>
      <c r="B3" s="13"/>
      <c r="C3" s="13" t="str">
        <f>'[1]Common Data'!$B$9</f>
        <v>Supplier</v>
      </c>
      <c r="D3" s="13"/>
      <c r="E3" s="15"/>
      <c r="F3" s="14" t="s">
        <v>215</v>
      </c>
      <c r="G3" s="44"/>
      <c r="H3" s="307">
        <f>'[1]Common Data'!$B$3</f>
        <v>123</v>
      </c>
    </row>
    <row r="4" spans="1:8">
      <c r="A4" s="7" t="s">
        <v>325</v>
      </c>
      <c r="B4" s="6"/>
      <c r="C4" s="6">
        <f>'[1]Common Data'!$B$10</f>
        <v>123</v>
      </c>
      <c r="D4" s="6"/>
      <c r="E4" s="8"/>
      <c r="F4" s="33" t="s">
        <v>237</v>
      </c>
      <c r="G4" s="226"/>
      <c r="H4" s="306" t="str">
        <f>'[1]Common Data'!$B$2</f>
        <v>PartName</v>
      </c>
    </row>
    <row r="5" spans="1:8">
      <c r="A5" s="14" t="s">
        <v>324</v>
      </c>
      <c r="B5" s="13"/>
      <c r="C5" s="13" t="str">
        <f>'[1]Common Data'!$B$30</f>
        <v>InspectionName</v>
      </c>
      <c r="D5" s="13"/>
      <c r="E5" s="15"/>
      <c r="F5" s="33" t="s">
        <v>323</v>
      </c>
      <c r="H5" s="57">
        <f>'[1]Common Data'!$B$5</f>
        <v>0</v>
      </c>
    </row>
    <row r="6" spans="1:8">
      <c r="A6" s="33"/>
      <c r="E6" s="57"/>
      <c r="F6" s="33" t="s">
        <v>322</v>
      </c>
      <c r="H6" s="57"/>
    </row>
    <row r="7" spans="1:8">
      <c r="A7" s="7"/>
      <c r="B7" s="6"/>
      <c r="C7" s="6"/>
      <c r="D7" s="6"/>
      <c r="E7" s="8"/>
      <c r="F7" s="7"/>
      <c r="G7" s="6"/>
      <c r="H7" s="8"/>
    </row>
    <row r="8" spans="1:8" s="197" customFormat="1" ht="25.5" customHeight="1">
      <c r="A8" s="305" t="s">
        <v>168</v>
      </c>
      <c r="B8" s="305" t="s">
        <v>321</v>
      </c>
      <c r="C8" s="305" t="s">
        <v>320</v>
      </c>
      <c r="D8" s="305" t="s">
        <v>319</v>
      </c>
      <c r="E8" s="305" t="s">
        <v>318</v>
      </c>
      <c r="F8" s="305" t="s">
        <v>317</v>
      </c>
      <c r="G8" s="305" t="s">
        <v>316</v>
      </c>
      <c r="H8" s="305" t="s">
        <v>315</v>
      </c>
    </row>
    <row r="9" spans="1:8" ht="20.100000000000001" customHeight="1">
      <c r="A9" s="26">
        <f>IF('[1]Characteristics List'!$A$10="","",'[1]Characteristics List'!$A$10)</f>
        <v>1</v>
      </c>
      <c r="B9" s="26"/>
      <c r="C9" s="304" t="str">
        <f>IF('[1]Characteristics List'!$C$10="","",'[1]Characteristics List'!$C$10)</f>
        <v>0.603-0.625 inches</v>
      </c>
      <c r="D9" s="26"/>
      <c r="E9" s="26"/>
      <c r="F9" s="26"/>
      <c r="G9" s="26"/>
      <c r="H9" s="26"/>
    </row>
    <row r="10" spans="1:8" ht="20.100000000000001" customHeight="1">
      <c r="A10" s="26">
        <f>IF('[1]Characteristics List'!$A$11="","",'[1]Characteristics List'!$A$11)</f>
        <v>2</v>
      </c>
      <c r="B10" s="26"/>
      <c r="C10" s="304" t="str">
        <f>IF('[1]Characteristics List'!$C$11="","",'[1]Characteristics List'!$C$11)</f>
        <v/>
      </c>
      <c r="D10" s="26"/>
      <c r="E10" s="26"/>
      <c r="F10" s="26"/>
      <c r="G10" s="26"/>
      <c r="H10" s="26"/>
    </row>
    <row r="11" spans="1:8" ht="20.100000000000001" customHeight="1">
      <c r="A11" s="26">
        <f>IF('[1]Characteristics List'!$A$12="","",'[1]Characteristics List'!$A$12)</f>
        <v>3</v>
      </c>
      <c r="B11" s="26"/>
      <c r="C11" s="304" t="str">
        <f>IF('[1]Characteristics List'!$C$12="","",'[1]Characteristics List'!$C$12)</f>
        <v/>
      </c>
      <c r="D11" s="26"/>
      <c r="E11" s="26"/>
      <c r="F11" s="26"/>
      <c r="G11" s="26"/>
      <c r="H11" s="26"/>
    </row>
    <row r="12" spans="1:8" ht="20.100000000000001" customHeight="1">
      <c r="A12" s="26">
        <f>IF('[1]Characteristics List'!$A$13="","",'[1]Characteristics List'!$A$13)</f>
        <v>4</v>
      </c>
      <c r="B12" s="26"/>
      <c r="C12" s="304" t="str">
        <f>IF('[1]Characteristics List'!$C$13="","",'[1]Characteristics List'!$C$13)</f>
        <v/>
      </c>
      <c r="D12" s="26"/>
      <c r="E12" s="26"/>
      <c r="F12" s="26"/>
      <c r="G12" s="26"/>
      <c r="H12" s="26"/>
    </row>
    <row r="13" spans="1:8" ht="20.100000000000001" customHeight="1">
      <c r="A13" s="26">
        <f>IF('[1]Characteristics List'!$A$14="","",'[1]Characteristics List'!$A$14)</f>
        <v>5</v>
      </c>
      <c r="B13" s="26"/>
      <c r="C13" s="304" t="str">
        <f>IF('[1]Characteristics List'!$C$14="","",'[1]Characteristics List'!$C$14)</f>
        <v/>
      </c>
      <c r="D13" s="26"/>
      <c r="E13" s="26"/>
      <c r="F13" s="26"/>
      <c r="G13" s="26"/>
      <c r="H13" s="26"/>
    </row>
    <row r="14" spans="1:8" ht="20.100000000000001" customHeight="1">
      <c r="A14" s="26">
        <f>IF('[1]Characteristics List'!$A$15="","",'[1]Characteristics List'!$A$15)</f>
        <v>6</v>
      </c>
      <c r="B14" s="26"/>
      <c r="C14" s="304" t="str">
        <f>IF('[1]Characteristics List'!$C$15="","",'[1]Characteristics List'!$C$15)</f>
        <v/>
      </c>
      <c r="D14" s="26"/>
      <c r="E14" s="26"/>
      <c r="F14" s="26"/>
      <c r="G14" s="26"/>
      <c r="H14" s="26"/>
    </row>
    <row r="15" spans="1:8" ht="20.100000000000001" customHeight="1">
      <c r="A15" s="26">
        <f>IF('[1]Characteristics List'!$A$16="","",'[1]Characteristics List'!$A$16)</f>
        <v>7</v>
      </c>
      <c r="B15" s="26"/>
      <c r="C15" s="304" t="str">
        <f>IF('[1]Characteristics List'!$C$16="","",'[1]Characteristics List'!$C$16)</f>
        <v/>
      </c>
      <c r="D15" s="26"/>
      <c r="E15" s="26"/>
      <c r="F15" s="26"/>
      <c r="G15" s="26"/>
      <c r="H15" s="26"/>
    </row>
    <row r="16" spans="1:8" ht="20.100000000000001" customHeight="1">
      <c r="A16" s="26">
        <f>IF('[1]Characteristics List'!$A$17="","",'[1]Characteristics List'!$A$17)</f>
        <v>8</v>
      </c>
      <c r="B16" s="26"/>
      <c r="C16" s="304" t="str">
        <f>IF('[1]Characteristics List'!$C$17="","",'[1]Characteristics List'!$C$17)</f>
        <v/>
      </c>
      <c r="D16" s="26"/>
      <c r="E16" s="26"/>
      <c r="F16" s="26"/>
      <c r="G16" s="26"/>
      <c r="H16" s="26"/>
    </row>
    <row r="17" spans="1:8" ht="20.100000000000001" customHeight="1">
      <c r="A17" s="26">
        <f>IF('[1]Characteristics List'!$A$18="","",'[1]Characteristics List'!$A$18)</f>
        <v>9</v>
      </c>
      <c r="B17" s="26"/>
      <c r="C17" s="304" t="str">
        <f>IF('[1]Characteristics List'!$C$18="","",'[1]Characteristics List'!$C$18)</f>
        <v/>
      </c>
      <c r="D17" s="26"/>
      <c r="E17" s="26"/>
      <c r="F17" s="26"/>
      <c r="G17" s="26"/>
      <c r="H17" s="26"/>
    </row>
    <row r="18" spans="1:8" ht="20.100000000000001" customHeight="1">
      <c r="A18" s="26">
        <f>IF('[1]Characteristics List'!$A$19="","",'[1]Characteristics List'!$A$19)</f>
        <v>10</v>
      </c>
      <c r="B18" s="26"/>
      <c r="C18" s="304" t="str">
        <f>IF('[1]Characteristics List'!$C$19="","",'[1]Characteristics List'!$C$19)</f>
        <v/>
      </c>
      <c r="D18" s="26"/>
      <c r="E18" s="26"/>
      <c r="F18" s="26"/>
      <c r="G18" s="26"/>
      <c r="H18" s="26"/>
    </row>
    <row r="19" spans="1:8" ht="20.100000000000001" customHeight="1">
      <c r="A19" s="26">
        <f>IF('[1]Characteristics List'!$A$20="","",'[1]Characteristics List'!$A$20)</f>
        <v>11</v>
      </c>
      <c r="B19" s="26"/>
      <c r="C19" s="304" t="str">
        <f>IF('[1]Characteristics List'!$C$20="","",'[1]Characteristics List'!$C$20)</f>
        <v/>
      </c>
      <c r="D19" s="26"/>
      <c r="E19" s="26"/>
      <c r="F19" s="26"/>
      <c r="G19" s="26"/>
      <c r="H19" s="26"/>
    </row>
    <row r="20" spans="1:8" ht="20.100000000000001" customHeight="1">
      <c r="A20" s="26">
        <f>IF('[1]Characteristics List'!$A$21="","",'[1]Characteristics List'!$A$21)</f>
        <v>12</v>
      </c>
      <c r="B20" s="26"/>
      <c r="C20" s="304" t="str">
        <f>IF('[1]Characteristics List'!$C$21="","",'[1]Characteristics List'!$C$21)</f>
        <v/>
      </c>
      <c r="D20" s="26"/>
      <c r="E20" s="26"/>
      <c r="F20" s="26"/>
      <c r="G20" s="26"/>
      <c r="H20" s="26"/>
    </row>
    <row r="21" spans="1:8" ht="20.100000000000001" customHeight="1">
      <c r="A21" s="26">
        <f>IF('[1]Characteristics List'!$A$22="","",'[1]Characteristics List'!$A$22)</f>
        <v>13</v>
      </c>
      <c r="B21" s="26"/>
      <c r="C21" s="304" t="str">
        <f>IF('[1]Characteristics List'!$C$22="","",'[1]Characteristics List'!$C$22)</f>
        <v/>
      </c>
      <c r="D21" s="26"/>
      <c r="E21" s="26"/>
      <c r="F21" s="26"/>
      <c r="G21" s="26"/>
      <c r="H21" s="26"/>
    </row>
    <row r="22" spans="1:8" ht="20.100000000000001" customHeight="1">
      <c r="A22" s="26">
        <f>IF('[1]Characteristics List'!$A$23="","",'[1]Characteristics List'!$A$23)</f>
        <v>14</v>
      </c>
      <c r="B22" s="26"/>
      <c r="C22" s="304" t="str">
        <f>IF('[1]Characteristics List'!$C$23="","",'[1]Characteristics List'!$C$23)</f>
        <v/>
      </c>
      <c r="D22" s="26"/>
      <c r="E22" s="26"/>
      <c r="F22" s="26"/>
      <c r="G22" s="26"/>
      <c r="H22" s="26"/>
    </row>
    <row r="23" spans="1:8" ht="20.100000000000001" customHeight="1">
      <c r="A23" s="26">
        <f>IF('[1]Characteristics List'!$A$24="","",'[1]Characteristics List'!$A$24)</f>
        <v>15</v>
      </c>
      <c r="B23" s="26"/>
      <c r="C23" s="304" t="str">
        <f>IF('[1]Characteristics List'!$C$24="","",'[1]Characteristics List'!$C$24)</f>
        <v/>
      </c>
      <c r="D23" s="26"/>
      <c r="E23" s="26"/>
      <c r="F23" s="26"/>
      <c r="G23" s="26"/>
      <c r="H23" s="26"/>
    </row>
    <row r="24" spans="1:8" ht="20.100000000000001" customHeight="1">
      <c r="A24" s="26">
        <f>IF('[1]Characteristics List'!$A$25="","",'[1]Characteristics List'!$A$25)</f>
        <v>16</v>
      </c>
      <c r="B24" s="26"/>
      <c r="C24" s="304" t="str">
        <f>IF('[1]Characteristics List'!$C$25="","",'[1]Characteristics List'!$C$25)</f>
        <v/>
      </c>
      <c r="D24" s="26"/>
      <c r="E24" s="26"/>
      <c r="F24" s="26"/>
      <c r="G24" s="26"/>
      <c r="H24" s="26"/>
    </row>
    <row r="25" spans="1:8" ht="20.100000000000001" customHeight="1">
      <c r="A25" s="26">
        <f>IF('[1]Characteristics List'!$A$26="","",'[1]Characteristics List'!$A$26)</f>
        <v>17</v>
      </c>
      <c r="B25" s="26"/>
      <c r="C25" s="304" t="str">
        <f>IF('[1]Characteristics List'!$C$26="","",'[1]Characteristics List'!$C$26)</f>
        <v/>
      </c>
      <c r="D25" s="26"/>
      <c r="E25" s="26"/>
      <c r="F25" s="26"/>
      <c r="G25" s="26"/>
      <c r="H25" s="26"/>
    </row>
    <row r="26" spans="1:8" ht="20.100000000000001" customHeight="1">
      <c r="A26" s="26">
        <f>IF('[1]Characteristics List'!$A$27="","",'[1]Characteristics List'!$A$27)</f>
        <v>18</v>
      </c>
      <c r="B26" s="26"/>
      <c r="C26" s="304" t="str">
        <f>IF('[1]Characteristics List'!$C$27="","",'[1]Characteristics List'!$C$27)</f>
        <v/>
      </c>
      <c r="D26" s="26"/>
      <c r="E26" s="26"/>
      <c r="F26" s="26"/>
      <c r="G26" s="26"/>
      <c r="H26" s="26"/>
    </row>
    <row r="27" spans="1:8" ht="20.100000000000001" customHeight="1">
      <c r="A27" s="26">
        <f>IF('[1]Characteristics List'!$A$28="","",'[1]Characteristics List'!$A$28)</f>
        <v>19</v>
      </c>
      <c r="B27" s="26"/>
      <c r="C27" s="304" t="str">
        <f>IF('[1]Characteristics List'!$C$28="","",'[1]Characteristics List'!$C$28)</f>
        <v/>
      </c>
      <c r="D27" s="26"/>
      <c r="E27" s="26"/>
      <c r="F27" s="26"/>
      <c r="G27" s="26"/>
      <c r="H27" s="26"/>
    </row>
    <row r="28" spans="1:8" ht="20.100000000000001" customHeight="1">
      <c r="A28" s="26">
        <f>IF('[1]Characteristics List'!$A$29="","",'[1]Characteristics List'!$A$29)</f>
        <v>20</v>
      </c>
      <c r="B28" s="26"/>
      <c r="C28" s="304" t="str">
        <f>IF('[1]Characteristics List'!$C$29="","",'[1]Characteristics List'!$C$29)</f>
        <v/>
      </c>
      <c r="D28" s="26"/>
      <c r="E28" s="26"/>
      <c r="F28" s="26"/>
      <c r="G28" s="26"/>
      <c r="H28" s="26"/>
    </row>
    <row r="29" spans="1:8" ht="20.100000000000001" customHeight="1">
      <c r="A29" s="26">
        <f>IF('[1]Characteristics List'!$A$30="","",'[1]Characteristics List'!$A$30)</f>
        <v>21</v>
      </c>
      <c r="B29" s="26"/>
      <c r="C29" s="304" t="str">
        <f>IF('[1]Characteristics List'!$C$30="","",'[1]Characteristics List'!$C$30)</f>
        <v/>
      </c>
      <c r="D29" s="26"/>
      <c r="E29" s="26"/>
      <c r="F29" s="26"/>
      <c r="G29" s="26"/>
      <c r="H29" s="26"/>
    </row>
    <row r="30" spans="1:8" ht="20.100000000000001" customHeight="1">
      <c r="A30" s="26">
        <f>IF('[1]Characteristics List'!$A$31="","",'[1]Characteristics List'!$A$31)</f>
        <v>22</v>
      </c>
      <c r="B30" s="26"/>
      <c r="C30" s="304" t="str">
        <f>IF('[1]Characteristics List'!$C$31="","",'[1]Characteristics List'!$C$31)</f>
        <v/>
      </c>
      <c r="D30" s="26"/>
      <c r="E30" s="26"/>
      <c r="F30" s="26"/>
      <c r="G30" s="26"/>
      <c r="H30" s="26"/>
    </row>
    <row r="31" spans="1:8" ht="20.100000000000001" customHeight="1">
      <c r="A31" s="26">
        <f>IF('[1]Characteristics List'!$A$32="","",'[1]Characteristics List'!$A$32)</f>
        <v>23</v>
      </c>
      <c r="B31" s="26"/>
      <c r="C31" s="304" t="str">
        <f>IF('[1]Characteristics List'!$C$32="","",'[1]Characteristics List'!$C$32)</f>
        <v/>
      </c>
      <c r="D31" s="26"/>
      <c r="E31" s="26"/>
      <c r="F31" s="26"/>
      <c r="G31" s="26"/>
      <c r="H31" s="26"/>
    </row>
    <row r="32" spans="1:8" ht="20.100000000000001" customHeight="1">
      <c r="A32" s="26">
        <f>IF('[1]Characteristics List'!$A$33="","",'[1]Characteristics List'!$A$33)</f>
        <v>24</v>
      </c>
      <c r="B32" s="26"/>
      <c r="C32" s="304" t="str">
        <f>IF('[1]Characteristics List'!$C$33="","",'[1]Characteristics List'!$C$33)</f>
        <v/>
      </c>
      <c r="D32" s="26"/>
      <c r="E32" s="26"/>
      <c r="F32" s="26"/>
      <c r="G32" s="26"/>
      <c r="H32" s="26"/>
    </row>
    <row r="33" spans="3:8" ht="20.100000000000001" customHeight="1">
      <c r="C33" s="1" t="s">
        <v>314</v>
      </c>
      <c r="F33" s="13"/>
      <c r="G33" s="13"/>
      <c r="H33" s="13"/>
    </row>
    <row r="34" spans="3:8">
      <c r="C34" s="14"/>
      <c r="D34" s="302" t="s">
        <v>1</v>
      </c>
      <c r="E34" s="13"/>
      <c r="F34" s="303" t="s">
        <v>313</v>
      </c>
      <c r="G34" s="302" t="s">
        <v>2</v>
      </c>
      <c r="H34" s="15"/>
    </row>
    <row r="35" spans="3:8">
      <c r="C35" s="7"/>
      <c r="D35" s="6"/>
      <c r="E35" s="6"/>
      <c r="F35" s="6"/>
      <c r="G35" s="6"/>
      <c r="H35" s="8"/>
    </row>
  </sheetData>
  <pageMargins left="0.75" right="0.75" top="1" bottom="1" header="0.5" footer="0.5"/>
  <pageSetup orientation="portrait" horizontalDpi="300" verticalDpi="300" r:id="rId1"/>
  <headerFooter alignWithMargins="0">
    <oddFooter>Page &amp;P of &amp;N&amp;RRevision Code 0.0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Process Flow Diagram</vt:lpstr>
      <vt:lpstr>PFMEA</vt:lpstr>
      <vt:lpstr>Control Plan</vt:lpstr>
      <vt:lpstr>Appearance Approval </vt:lpstr>
      <vt:lpstr>8-D Report</vt:lpstr>
      <vt:lpstr>Inspection Report</vt:lpstr>
      <vt:lpstr>Product-Process Change </vt:lpstr>
      <vt:lpstr>Dimensional Report</vt:lpstr>
      <vt:lpstr>'Control Plan'!Print_Titles</vt:lpstr>
      <vt:lpstr>PFMEA!Print_Titles</vt:lpstr>
      <vt:lpstr>'Process Flow Diagram'!Print_Titles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parnell</dc:creator>
  <cp:lastModifiedBy>shawn parnell</cp:lastModifiedBy>
  <dcterms:created xsi:type="dcterms:W3CDTF">2026-09-06T20:35:30Z</dcterms:created>
  <dcterms:modified xsi:type="dcterms:W3CDTF">2026-09-06T21:18:21Z</dcterms:modified>
</cp:coreProperties>
</file>